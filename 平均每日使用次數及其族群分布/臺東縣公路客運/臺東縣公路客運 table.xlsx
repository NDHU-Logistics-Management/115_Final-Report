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fb9bc5ab95e55f5/文件/ChatGPT/運籌報告/最終交付_臺東縣公路客運_11306至11506/"/>
    </mc:Choice>
  </mc:AlternateContent>
  <xr:revisionPtr revIDLastSave="0" documentId="8_{FD8D8A9D-78CD-41D8-A24F-0BD3DDFF90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平均每日使用次數" sheetId="1" r:id="rId1"/>
    <sheet name="乘客各搭乘次數區間月人數變化" sheetId="2" r:id="rId2"/>
    <sheet name="TPASS乘客分組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" l="1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C5" i="3"/>
  <c r="G4" i="3"/>
  <c r="E4" i="3"/>
  <c r="C4" i="3"/>
  <c r="G3" i="3"/>
  <c r="E3" i="3"/>
  <c r="C3" i="3"/>
  <c r="G2" i="3"/>
  <c r="E2" i="3"/>
  <c r="C2" i="3"/>
  <c r="G26" i="2"/>
  <c r="E26" i="2"/>
  <c r="C26" i="2"/>
  <c r="G25" i="2"/>
  <c r="E25" i="2"/>
  <c r="C25" i="2"/>
  <c r="G24" i="2"/>
  <c r="E24" i="2"/>
  <c r="C24" i="2"/>
  <c r="G23" i="2"/>
  <c r="E23" i="2"/>
  <c r="C23" i="2"/>
  <c r="G22" i="2"/>
  <c r="E22" i="2"/>
  <c r="C22" i="2"/>
  <c r="G21" i="2"/>
  <c r="E21" i="2"/>
  <c r="C21" i="2"/>
  <c r="G20" i="2"/>
  <c r="E20" i="2"/>
  <c r="C20" i="2"/>
  <c r="G19" i="2"/>
  <c r="E19" i="2"/>
  <c r="C19" i="2"/>
  <c r="G18" i="2"/>
  <c r="E18" i="2"/>
  <c r="C18" i="2"/>
  <c r="G17" i="2"/>
  <c r="E17" i="2"/>
  <c r="C17" i="2"/>
  <c r="G16" i="2"/>
  <c r="E16" i="2"/>
  <c r="C16" i="2"/>
  <c r="G15" i="2"/>
  <c r="E15" i="2"/>
  <c r="C15" i="2"/>
  <c r="G14" i="2"/>
  <c r="E14" i="2"/>
  <c r="C14" i="2"/>
  <c r="G13" i="2"/>
  <c r="E13" i="2"/>
  <c r="C13" i="2"/>
  <c r="G12" i="2"/>
  <c r="E12" i="2"/>
  <c r="C12" i="2"/>
  <c r="G11" i="2"/>
  <c r="E11" i="2"/>
  <c r="C11" i="2"/>
  <c r="G10" i="2"/>
  <c r="E10" i="2"/>
  <c r="C10" i="2"/>
  <c r="G9" i="2"/>
  <c r="E9" i="2"/>
  <c r="C9" i="2"/>
  <c r="G8" i="2"/>
  <c r="E8" i="2"/>
  <c r="C8" i="2"/>
  <c r="G7" i="2"/>
  <c r="E7" i="2"/>
  <c r="C7" i="2"/>
  <c r="G6" i="2"/>
  <c r="E6" i="2"/>
  <c r="C6" i="2"/>
  <c r="G5" i="2"/>
  <c r="E5" i="2"/>
  <c r="C5" i="2"/>
  <c r="G4" i="2"/>
  <c r="E4" i="2"/>
  <c r="C4" i="2"/>
  <c r="G3" i="2"/>
  <c r="E3" i="2"/>
  <c r="C3" i="2"/>
  <c r="G2" i="2"/>
  <c r="E2" i="2"/>
  <c r="C2" i="2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<sst xmlns="http://schemas.openxmlformats.org/spreadsheetml/2006/main" count="89" uniqueCount="35">
  <si>
    <t>月份</t>
  </si>
  <si>
    <t>月總使用次數</t>
  </si>
  <si>
    <t>當月使用人數</t>
  </si>
  <si>
    <t>當月日數</t>
  </si>
  <si>
    <t>每人每月平均使用次數</t>
  </si>
  <si>
    <t>日均使用次數</t>
  </si>
  <si>
    <t>113 年 6 月</t>
  </si>
  <si>
    <t>113 年 7 月</t>
  </si>
  <si>
    <t>113 年 8 月</t>
  </si>
  <si>
    <t>113 年 9 月</t>
  </si>
  <si>
    <t>113 年 10 月</t>
  </si>
  <si>
    <t>113 年 11 月</t>
  </si>
  <si>
    <t>113 年 12 月</t>
  </si>
  <si>
    <t>114 年 1 月</t>
  </si>
  <si>
    <t>114 年 2 月</t>
  </si>
  <si>
    <t>114 年 3 月</t>
  </si>
  <si>
    <t>114 年 4 月</t>
  </si>
  <si>
    <t>114 年 5 月</t>
  </si>
  <si>
    <t>114 年 6 月</t>
  </si>
  <si>
    <t>114 年 7 月</t>
  </si>
  <si>
    <t>114 年 8 月</t>
  </si>
  <si>
    <t>114 年 9 月</t>
  </si>
  <si>
    <t>114 年 10 月</t>
  </si>
  <si>
    <t>114 年 11 月</t>
  </si>
  <si>
    <t>114 年 12 月</t>
  </si>
  <si>
    <t>115 年 1 月</t>
  </si>
  <si>
    <t>115 年 2 月</t>
  </si>
  <si>
    <t>115 年 3 月</t>
  </si>
  <si>
    <t>115 年 4 月</t>
  </si>
  <si>
    <t>115 年 5 月</t>
  </si>
  <si>
    <t>115 年 6 月</t>
  </si>
  <si>
    <t>僅一次</t>
  </si>
  <si>
    <t>二至四次</t>
  </si>
  <si>
    <t>五次以上</t>
  </si>
  <si>
    <t xml:space="preserve">           搭乘次數
月份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</si>
</sst>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%"/>
  </numFmts>
  <fonts count="5" x14ac:knownFonts="1">
    <font>
      <sz val="11"/>
      <color rgb="FF000000"/>
      <name val="Calibri"/>
    </font>
    <font>
      <sz val="9"/>
      <name val="細明體"/>
      <family val="3"/>
      <charset val="136"/>
    </font>
    <font>
      <sz val="12"/>
      <color rgb="FF000000"/>
      <name val="標楷體"/>
      <family val="4"/>
      <charset val="136"/>
    </font>
    <font>
      <sz val="12"/>
      <color rgb="FF000000"/>
      <name val="Times New Roman"/>
    </font>
    <font>
      <sz val="11"/>
      <color rgb="FF00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GridLines="0" tabSelected="1" workbookViewId="0">
      <selection activeCell="G4" sqref="G4"/>
    </sheetView>
  </sheetViews>
  <sheetFormatPr defaultColWidth="10.90625" defaultRowHeight="14.5" x14ac:dyDescent="0.35"/>
  <cols>
    <col min="1" max="1" width="16.7265625" customWidth="1"/>
    <col min="2" max="3" width="18.7265625" customWidth="1"/>
    <col min="4" max="4" width="14.7265625" customWidth="1"/>
    <col min="5" max="5" width="27.7265625" customWidth="1"/>
    <col min="6" max="6" width="19.7265625" customWidth="1"/>
  </cols>
  <sheetData>
    <row r="1" spans="1:6" ht="34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22" customHeight="1" x14ac:dyDescent="0.35">
      <c r="A2" s="7" t="s">
        <v>6</v>
      </c>
      <c r="B2" s="8">
        <v>70793</v>
      </c>
      <c r="C2" s="8">
        <v>15333</v>
      </c>
      <c r="D2" s="8">
        <v>30</v>
      </c>
      <c r="E2" s="9">
        <f t="shared" ref="E2:E26" si="0">B2/C2</f>
        <v>4.6170351529381071</v>
      </c>
      <c r="F2" s="9">
        <f t="shared" ref="F2:F26" si="1">E2/D2</f>
        <v>0.15390117176460358</v>
      </c>
    </row>
    <row r="3" spans="1:6" ht="22" customHeight="1" x14ac:dyDescent="0.35">
      <c r="A3" s="7" t="s">
        <v>7</v>
      </c>
      <c r="B3" s="8">
        <v>62229</v>
      </c>
      <c r="C3" s="8">
        <v>15364</v>
      </c>
      <c r="D3" s="8">
        <v>31</v>
      </c>
      <c r="E3" s="9">
        <f t="shared" si="0"/>
        <v>4.0503124186409787</v>
      </c>
      <c r="F3" s="9">
        <f t="shared" si="1"/>
        <v>0.13065523931099932</v>
      </c>
    </row>
    <row r="4" spans="1:6" ht="22" customHeight="1" x14ac:dyDescent="0.35">
      <c r="A4" s="7" t="s">
        <v>8</v>
      </c>
      <c r="B4" s="8">
        <v>73732</v>
      </c>
      <c r="C4" s="8">
        <v>17633</v>
      </c>
      <c r="D4" s="8">
        <v>31</v>
      </c>
      <c r="E4" s="9">
        <f t="shared" si="0"/>
        <v>4.1814779107355529</v>
      </c>
      <c r="F4" s="9">
        <f t="shared" si="1"/>
        <v>0.13488638421727589</v>
      </c>
    </row>
    <row r="5" spans="1:6" ht="22" customHeight="1" x14ac:dyDescent="0.35">
      <c r="A5" s="7" t="s">
        <v>9</v>
      </c>
      <c r="B5" s="8">
        <v>87532</v>
      </c>
      <c r="C5" s="8">
        <v>16652</v>
      </c>
      <c r="D5" s="8">
        <v>30</v>
      </c>
      <c r="E5" s="9">
        <f t="shared" si="0"/>
        <v>5.2565457602690371</v>
      </c>
      <c r="F5" s="9">
        <f t="shared" si="1"/>
        <v>0.1752181920089679</v>
      </c>
    </row>
    <row r="6" spans="1:6" ht="22" customHeight="1" x14ac:dyDescent="0.35">
      <c r="A6" s="7" t="s">
        <v>10</v>
      </c>
      <c r="B6" s="8">
        <v>78878</v>
      </c>
      <c r="C6" s="8">
        <v>16054</v>
      </c>
      <c r="D6" s="8">
        <v>31</v>
      </c>
      <c r="E6" s="9">
        <f t="shared" si="0"/>
        <v>4.9132926373489472</v>
      </c>
      <c r="F6" s="9">
        <f t="shared" si="1"/>
        <v>0.1584933108822241</v>
      </c>
    </row>
    <row r="7" spans="1:6" ht="22" customHeight="1" x14ac:dyDescent="0.35">
      <c r="A7" s="7" t="s">
        <v>11</v>
      </c>
      <c r="B7" s="8">
        <v>92804</v>
      </c>
      <c r="C7" s="8">
        <v>19244</v>
      </c>
      <c r="D7" s="8">
        <v>30</v>
      </c>
      <c r="E7" s="9">
        <f t="shared" si="0"/>
        <v>4.8224901267927667</v>
      </c>
      <c r="F7" s="9">
        <f t="shared" si="1"/>
        <v>0.16074967089309222</v>
      </c>
    </row>
    <row r="8" spans="1:6" ht="22" customHeight="1" x14ac:dyDescent="0.35">
      <c r="A8" s="7" t="s">
        <v>12</v>
      </c>
      <c r="B8" s="8">
        <v>94174</v>
      </c>
      <c r="C8" s="8">
        <v>17955</v>
      </c>
      <c r="D8" s="8">
        <v>31</v>
      </c>
      <c r="E8" s="9">
        <f t="shared" si="0"/>
        <v>5.2450013923698133</v>
      </c>
      <c r="F8" s="9">
        <f t="shared" si="1"/>
        <v>0.16919359330225203</v>
      </c>
    </row>
    <row r="9" spans="1:6" ht="22" customHeight="1" x14ac:dyDescent="0.35">
      <c r="A9" s="7" t="s">
        <v>13</v>
      </c>
      <c r="B9" s="8">
        <v>72020</v>
      </c>
      <c r="C9" s="8">
        <v>16584</v>
      </c>
      <c r="D9" s="8">
        <v>31</v>
      </c>
      <c r="E9" s="9">
        <f t="shared" si="0"/>
        <v>4.3427399903521469</v>
      </c>
      <c r="F9" s="9">
        <f t="shared" si="1"/>
        <v>0.14008838678555313</v>
      </c>
    </row>
    <row r="10" spans="1:6" ht="22" customHeight="1" x14ac:dyDescent="0.35">
      <c r="A10" s="7" t="s">
        <v>14</v>
      </c>
      <c r="B10" s="8">
        <v>68543</v>
      </c>
      <c r="C10" s="8">
        <v>15381</v>
      </c>
      <c r="D10" s="8">
        <v>28</v>
      </c>
      <c r="E10" s="9">
        <f t="shared" si="0"/>
        <v>4.4563422404265003</v>
      </c>
      <c r="F10" s="9">
        <f t="shared" si="1"/>
        <v>0.15915508001523215</v>
      </c>
    </row>
    <row r="11" spans="1:6" ht="22" customHeight="1" x14ac:dyDescent="0.35">
      <c r="A11" s="7" t="s">
        <v>15</v>
      </c>
      <c r="B11" s="8">
        <v>86418</v>
      </c>
      <c r="C11" s="8">
        <v>16213</v>
      </c>
      <c r="D11" s="8">
        <v>31</v>
      </c>
      <c r="E11" s="9">
        <f t="shared" si="0"/>
        <v>5.3301671498180472</v>
      </c>
      <c r="F11" s="9">
        <f t="shared" si="1"/>
        <v>0.17194087580058218</v>
      </c>
    </row>
    <row r="12" spans="1:6" ht="22" customHeight="1" x14ac:dyDescent="0.35">
      <c r="A12" s="7" t="s">
        <v>16</v>
      </c>
      <c r="B12" s="8">
        <v>83594</v>
      </c>
      <c r="C12" s="8">
        <v>17089</v>
      </c>
      <c r="D12" s="8">
        <v>30</v>
      </c>
      <c r="E12" s="9">
        <f t="shared" si="0"/>
        <v>4.8916847094622273</v>
      </c>
      <c r="F12" s="9">
        <f t="shared" si="1"/>
        <v>0.16305615698207424</v>
      </c>
    </row>
    <row r="13" spans="1:6" ht="22" customHeight="1" x14ac:dyDescent="0.35">
      <c r="A13" s="7" t="s">
        <v>17</v>
      </c>
      <c r="B13" s="8">
        <v>82907</v>
      </c>
      <c r="C13" s="8">
        <v>15813</v>
      </c>
      <c r="D13" s="8">
        <v>31</v>
      </c>
      <c r="E13" s="9">
        <f t="shared" si="0"/>
        <v>5.2429646493391511</v>
      </c>
      <c r="F13" s="9">
        <f t="shared" si="1"/>
        <v>0.16912789191416616</v>
      </c>
    </row>
    <row r="14" spans="1:6" ht="22" customHeight="1" x14ac:dyDescent="0.35">
      <c r="A14" s="7" t="s">
        <v>18</v>
      </c>
      <c r="B14" s="8">
        <v>77517</v>
      </c>
      <c r="C14" s="8">
        <v>15559</v>
      </c>
      <c r="D14" s="8">
        <v>30</v>
      </c>
      <c r="E14" s="9">
        <f t="shared" si="0"/>
        <v>4.9821325277974164</v>
      </c>
      <c r="F14" s="9">
        <f t="shared" si="1"/>
        <v>0.16607108425991388</v>
      </c>
    </row>
    <row r="15" spans="1:6" ht="22" customHeight="1" x14ac:dyDescent="0.35">
      <c r="A15" s="7" t="s">
        <v>19</v>
      </c>
      <c r="B15" s="8">
        <v>61430</v>
      </c>
      <c r="C15" s="8">
        <v>15407</v>
      </c>
      <c r="D15" s="8">
        <v>31</v>
      </c>
      <c r="E15" s="9">
        <f t="shared" si="0"/>
        <v>3.9871486986434737</v>
      </c>
      <c r="F15" s="9">
        <f t="shared" si="1"/>
        <v>0.12861769995624109</v>
      </c>
    </row>
    <row r="16" spans="1:6" ht="22" customHeight="1" x14ac:dyDescent="0.35">
      <c r="A16" s="7" t="s">
        <v>20</v>
      </c>
      <c r="B16" s="8">
        <v>63965</v>
      </c>
      <c r="C16" s="8">
        <v>17155</v>
      </c>
      <c r="D16" s="8">
        <v>31</v>
      </c>
      <c r="E16" s="9">
        <f t="shared" si="0"/>
        <v>3.7286505392013991</v>
      </c>
      <c r="F16" s="9">
        <f t="shared" si="1"/>
        <v>0.12027904965165803</v>
      </c>
    </row>
    <row r="17" spans="1:6" ht="22" customHeight="1" x14ac:dyDescent="0.35">
      <c r="A17" s="7" t="s">
        <v>21</v>
      </c>
      <c r="B17" s="8">
        <v>78461</v>
      </c>
      <c r="C17" s="8">
        <v>14196</v>
      </c>
      <c r="D17" s="8">
        <v>30</v>
      </c>
      <c r="E17" s="9">
        <f t="shared" si="0"/>
        <v>5.5269794308255848</v>
      </c>
      <c r="F17" s="9">
        <f t="shared" si="1"/>
        <v>0.18423264769418615</v>
      </c>
    </row>
    <row r="18" spans="1:6" ht="22" customHeight="1" x14ac:dyDescent="0.35">
      <c r="A18" s="7" t="s">
        <v>22</v>
      </c>
      <c r="B18" s="8">
        <v>87936</v>
      </c>
      <c r="C18" s="8">
        <v>16443</v>
      </c>
      <c r="D18" s="8">
        <v>31</v>
      </c>
      <c r="E18" s="9">
        <f t="shared" si="0"/>
        <v>5.3479292099981759</v>
      </c>
      <c r="F18" s="9">
        <f t="shared" si="1"/>
        <v>0.17251384548381213</v>
      </c>
    </row>
    <row r="19" spans="1:6" ht="22" customHeight="1" x14ac:dyDescent="0.35">
      <c r="A19" s="7" t="s">
        <v>23</v>
      </c>
      <c r="B19" s="8">
        <v>35607</v>
      </c>
      <c r="C19" s="8">
        <v>9059</v>
      </c>
      <c r="D19" s="8">
        <v>30</v>
      </c>
      <c r="E19" s="9">
        <f t="shared" si="0"/>
        <v>3.9305662876697207</v>
      </c>
      <c r="F19" s="9">
        <f t="shared" si="1"/>
        <v>0.13101887625565736</v>
      </c>
    </row>
    <row r="20" spans="1:6" ht="22" customHeight="1" x14ac:dyDescent="0.35">
      <c r="A20" s="7" t="s">
        <v>24</v>
      </c>
      <c r="B20" s="8">
        <v>88727</v>
      </c>
      <c r="C20" s="8">
        <v>17059</v>
      </c>
      <c r="D20" s="8">
        <v>31</v>
      </c>
      <c r="E20" s="9">
        <f t="shared" si="0"/>
        <v>5.2011841256814586</v>
      </c>
      <c r="F20" s="9">
        <f t="shared" si="1"/>
        <v>0.16778013308649867</v>
      </c>
    </row>
    <row r="21" spans="1:6" ht="22" customHeight="1" x14ac:dyDescent="0.35">
      <c r="A21" s="7" t="s">
        <v>25</v>
      </c>
      <c r="B21" s="8">
        <v>70523</v>
      </c>
      <c r="C21" s="8">
        <v>15500</v>
      </c>
      <c r="D21" s="8">
        <v>31</v>
      </c>
      <c r="E21" s="9">
        <f t="shared" si="0"/>
        <v>4.5498709677419358</v>
      </c>
      <c r="F21" s="9">
        <f t="shared" si="1"/>
        <v>0.14677003121748181</v>
      </c>
    </row>
    <row r="22" spans="1:6" ht="22" customHeight="1" x14ac:dyDescent="0.35">
      <c r="A22" s="7" t="s">
        <v>26</v>
      </c>
      <c r="B22" s="8">
        <v>56672</v>
      </c>
      <c r="C22" s="8">
        <v>16493</v>
      </c>
      <c r="D22" s="8">
        <v>28</v>
      </c>
      <c r="E22" s="9">
        <f t="shared" si="0"/>
        <v>3.4361244164190867</v>
      </c>
      <c r="F22" s="9">
        <f t="shared" si="1"/>
        <v>0.12271872915782453</v>
      </c>
    </row>
    <row r="23" spans="1:6" ht="22" customHeight="1" x14ac:dyDescent="0.35">
      <c r="A23" s="7" t="s">
        <v>27</v>
      </c>
      <c r="B23" s="8">
        <v>81699</v>
      </c>
      <c r="C23" s="8">
        <v>15778</v>
      </c>
      <c r="D23" s="8">
        <v>31</v>
      </c>
      <c r="E23" s="9">
        <f t="shared" si="0"/>
        <v>5.1780327037647353</v>
      </c>
      <c r="F23" s="9">
        <f t="shared" si="1"/>
        <v>0.16703331302466889</v>
      </c>
    </row>
    <row r="24" spans="1:6" ht="22" customHeight="1" x14ac:dyDescent="0.35">
      <c r="A24" s="7" t="s">
        <v>28</v>
      </c>
      <c r="B24" s="8">
        <v>81709</v>
      </c>
      <c r="C24" s="8">
        <v>17041</v>
      </c>
      <c r="D24" s="8">
        <v>30</v>
      </c>
      <c r="E24" s="9">
        <f t="shared" si="0"/>
        <v>4.7948477202042135</v>
      </c>
      <c r="F24" s="9">
        <f t="shared" si="1"/>
        <v>0.15982825734014044</v>
      </c>
    </row>
    <row r="25" spans="1:6" ht="22" customHeight="1" x14ac:dyDescent="0.35">
      <c r="A25" s="7" t="s">
        <v>29</v>
      </c>
      <c r="B25" s="8">
        <v>77631</v>
      </c>
      <c r="C25" s="8">
        <v>16173</v>
      </c>
      <c r="D25" s="8">
        <v>31</v>
      </c>
      <c r="E25" s="9">
        <f t="shared" si="0"/>
        <v>4.8000370988684846</v>
      </c>
      <c r="F25" s="9">
        <f t="shared" si="1"/>
        <v>0.15483990641511242</v>
      </c>
    </row>
    <row r="26" spans="1:6" ht="22" customHeight="1" x14ac:dyDescent="0.35">
      <c r="A26" s="7" t="s">
        <v>30</v>
      </c>
      <c r="B26" s="8">
        <v>74525</v>
      </c>
      <c r="C26" s="8">
        <v>15332</v>
      </c>
      <c r="D26" s="8">
        <v>30</v>
      </c>
      <c r="E26" s="9">
        <f t="shared" si="0"/>
        <v>4.8607487607618056</v>
      </c>
      <c r="F26" s="9">
        <f t="shared" si="1"/>
        <v>0.16202495869206018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GridLines="0" workbookViewId="0">
      <selection activeCell="B1" sqref="B1:C1"/>
    </sheetView>
  </sheetViews>
  <sheetFormatPr defaultRowHeight="14.5" x14ac:dyDescent="0.35"/>
  <cols>
    <col min="1" max="1" width="22.453125" customWidth="1"/>
    <col min="2" max="2" width="14" customWidth="1"/>
    <col min="3" max="3" width="12.7265625" customWidth="1"/>
    <col min="4" max="4" width="14" customWidth="1"/>
    <col min="5" max="5" width="12.7265625" customWidth="1"/>
    <col min="6" max="6" width="14" customWidth="1"/>
    <col min="7" max="7" width="12.7265625" customWidth="1"/>
  </cols>
  <sheetData>
    <row r="1" spans="1:7" ht="64.5" customHeight="1" x14ac:dyDescent="0.35">
      <c r="A1" s="5" t="s">
        <v>34</v>
      </c>
      <c r="B1" s="4" t="s">
        <v>31</v>
      </c>
      <c r="C1" s="4"/>
      <c r="D1" s="4" t="s">
        <v>32</v>
      </c>
      <c r="E1" s="4"/>
      <c r="F1" s="4" t="s">
        <v>33</v>
      </c>
      <c r="G1" s="4"/>
    </row>
    <row r="2" spans="1:7" ht="24" customHeight="1" x14ac:dyDescent="0.35">
      <c r="A2" s="1" t="s">
        <v>6</v>
      </c>
      <c r="B2" s="2">
        <v>5458</v>
      </c>
      <c r="C2" s="3">
        <f t="shared" ref="C2:C26" si="0">B2/SUM(B2,D2,F2)</f>
        <v>0.35596426009261073</v>
      </c>
      <c r="D2" s="2">
        <v>6265</v>
      </c>
      <c r="E2" s="3">
        <f t="shared" ref="E2:E26" si="1">D2/SUM(B2,D2,F2)</f>
        <v>0.40859583903997915</v>
      </c>
      <c r="F2" s="2">
        <v>3610</v>
      </c>
      <c r="G2" s="3">
        <f t="shared" ref="G2:G26" si="2">F2/SUM(B2,D2,F2)</f>
        <v>0.23543990086741015</v>
      </c>
    </row>
    <row r="3" spans="1:7" ht="24" customHeight="1" x14ac:dyDescent="0.35">
      <c r="A3" s="1" t="s">
        <v>7</v>
      </c>
      <c r="B3" s="2">
        <v>5761</v>
      </c>
      <c r="C3" s="3">
        <f t="shared" si="0"/>
        <v>0.3749674563915647</v>
      </c>
      <c r="D3" s="2">
        <v>6224</v>
      </c>
      <c r="E3" s="3">
        <f t="shared" si="1"/>
        <v>0.40510283780265555</v>
      </c>
      <c r="F3" s="2">
        <v>3379</v>
      </c>
      <c r="G3" s="3">
        <f t="shared" si="2"/>
        <v>0.21992970580577975</v>
      </c>
    </row>
    <row r="4" spans="1:7" ht="24" customHeight="1" x14ac:dyDescent="0.35">
      <c r="A4" s="1" t="s">
        <v>8</v>
      </c>
      <c r="B4" s="2">
        <v>6667</v>
      </c>
      <c r="C4" s="3">
        <f t="shared" si="0"/>
        <v>0.37809788464810301</v>
      </c>
      <c r="D4" s="2">
        <v>6612</v>
      </c>
      <c r="E4" s="3">
        <f t="shared" si="1"/>
        <v>0.3749787330573357</v>
      </c>
      <c r="F4" s="2">
        <v>4354</v>
      </c>
      <c r="G4" s="3">
        <f t="shared" si="2"/>
        <v>0.24692338229456134</v>
      </c>
    </row>
    <row r="5" spans="1:7" ht="24" customHeight="1" x14ac:dyDescent="0.35">
      <c r="A5" s="1" t="s">
        <v>9</v>
      </c>
      <c r="B5" s="2">
        <v>5364</v>
      </c>
      <c r="C5" s="3">
        <f t="shared" si="0"/>
        <v>0.32212346865241415</v>
      </c>
      <c r="D5" s="2">
        <v>6422</v>
      </c>
      <c r="E5" s="3">
        <f t="shared" si="1"/>
        <v>0.3856593802546241</v>
      </c>
      <c r="F5" s="2">
        <v>4866</v>
      </c>
      <c r="G5" s="3">
        <f t="shared" si="2"/>
        <v>0.29221715109296181</v>
      </c>
    </row>
    <row r="6" spans="1:7" ht="24" customHeight="1" x14ac:dyDescent="0.35">
      <c r="A6" s="1" t="s">
        <v>10</v>
      </c>
      <c r="B6" s="2">
        <v>5260</v>
      </c>
      <c r="C6" s="3">
        <f t="shared" si="0"/>
        <v>0.32764420082222501</v>
      </c>
      <c r="D6" s="2">
        <v>6642</v>
      </c>
      <c r="E6" s="3">
        <f t="shared" si="1"/>
        <v>0.41372866575308337</v>
      </c>
      <c r="F6" s="2">
        <v>4152</v>
      </c>
      <c r="G6" s="3">
        <f t="shared" si="2"/>
        <v>0.25862713342469168</v>
      </c>
    </row>
    <row r="7" spans="1:7" ht="24" customHeight="1" x14ac:dyDescent="0.35">
      <c r="A7" s="1" t="s">
        <v>11</v>
      </c>
      <c r="B7" s="2">
        <v>6543</v>
      </c>
      <c r="C7" s="3">
        <f t="shared" si="0"/>
        <v>0.34000207856994386</v>
      </c>
      <c r="D7" s="2">
        <v>7926</v>
      </c>
      <c r="E7" s="3">
        <f t="shared" si="1"/>
        <v>0.41186863437954685</v>
      </c>
      <c r="F7" s="2">
        <v>4775</v>
      </c>
      <c r="G7" s="3">
        <f t="shared" si="2"/>
        <v>0.24812928705050924</v>
      </c>
    </row>
    <row r="8" spans="1:7" ht="24" customHeight="1" x14ac:dyDescent="0.35">
      <c r="A8" s="1" t="s">
        <v>12</v>
      </c>
      <c r="B8" s="2">
        <v>6108</v>
      </c>
      <c r="C8" s="3">
        <f t="shared" si="0"/>
        <v>0.34018379281537175</v>
      </c>
      <c r="D8" s="2">
        <v>7207</v>
      </c>
      <c r="E8" s="3">
        <f t="shared" si="1"/>
        <v>0.40139236981342247</v>
      </c>
      <c r="F8" s="2">
        <v>4640</v>
      </c>
      <c r="G8" s="3">
        <f t="shared" si="2"/>
        <v>0.25842383737120578</v>
      </c>
    </row>
    <row r="9" spans="1:7" ht="24" customHeight="1" x14ac:dyDescent="0.35">
      <c r="A9" s="1" t="s">
        <v>13</v>
      </c>
      <c r="B9" s="2">
        <v>6285</v>
      </c>
      <c r="C9" s="3">
        <f t="shared" si="0"/>
        <v>0.37897973950795949</v>
      </c>
      <c r="D9" s="2">
        <v>6567</v>
      </c>
      <c r="E9" s="3">
        <f t="shared" si="1"/>
        <v>0.39598408104196814</v>
      </c>
      <c r="F9" s="2">
        <v>3732</v>
      </c>
      <c r="G9" s="3">
        <f t="shared" si="2"/>
        <v>0.22503617945007237</v>
      </c>
    </row>
    <row r="10" spans="1:7" ht="24" customHeight="1" x14ac:dyDescent="0.35">
      <c r="A10" s="1" t="s">
        <v>14</v>
      </c>
      <c r="B10" s="2">
        <v>5669</v>
      </c>
      <c r="C10" s="3">
        <f t="shared" si="0"/>
        <v>0.36857161432936741</v>
      </c>
      <c r="D10" s="2">
        <v>6071</v>
      </c>
      <c r="E10" s="3">
        <f t="shared" si="1"/>
        <v>0.39470775632273586</v>
      </c>
      <c r="F10" s="2">
        <v>3641</v>
      </c>
      <c r="G10" s="3">
        <f t="shared" si="2"/>
        <v>0.23672062934789675</v>
      </c>
    </row>
    <row r="11" spans="1:7" ht="24" customHeight="1" x14ac:dyDescent="0.35">
      <c r="A11" s="1" t="s">
        <v>15</v>
      </c>
      <c r="B11" s="2">
        <v>5445</v>
      </c>
      <c r="C11" s="3">
        <f t="shared" si="0"/>
        <v>0.33584160858570283</v>
      </c>
      <c r="D11" s="2">
        <v>6523</v>
      </c>
      <c r="E11" s="3">
        <f t="shared" si="1"/>
        <v>0.40233146240671064</v>
      </c>
      <c r="F11" s="2">
        <v>4245</v>
      </c>
      <c r="G11" s="3">
        <f t="shared" si="2"/>
        <v>0.26182692900758653</v>
      </c>
    </row>
    <row r="12" spans="1:7" ht="24" customHeight="1" x14ac:dyDescent="0.35">
      <c r="A12" s="1" t="s">
        <v>16</v>
      </c>
      <c r="B12" s="2">
        <v>6266</v>
      </c>
      <c r="C12" s="3">
        <f t="shared" si="0"/>
        <v>0.36666861723915967</v>
      </c>
      <c r="D12" s="2">
        <v>6747</v>
      </c>
      <c r="E12" s="3">
        <f t="shared" si="1"/>
        <v>0.39481537831353503</v>
      </c>
      <c r="F12" s="2">
        <v>4076</v>
      </c>
      <c r="G12" s="3">
        <f t="shared" si="2"/>
        <v>0.23851600444730528</v>
      </c>
    </row>
    <row r="13" spans="1:7" ht="24" customHeight="1" x14ac:dyDescent="0.35">
      <c r="A13" s="1" t="s">
        <v>17</v>
      </c>
      <c r="B13" s="2">
        <v>5399</v>
      </c>
      <c r="C13" s="3">
        <f t="shared" si="0"/>
        <v>0.34142793903750079</v>
      </c>
      <c r="D13" s="2">
        <v>6258</v>
      </c>
      <c r="E13" s="3">
        <f t="shared" si="1"/>
        <v>0.39575033200531207</v>
      </c>
      <c r="F13" s="2">
        <v>4156</v>
      </c>
      <c r="G13" s="3">
        <f t="shared" si="2"/>
        <v>0.26282172895718714</v>
      </c>
    </row>
    <row r="14" spans="1:7" ht="24" customHeight="1" x14ac:dyDescent="0.35">
      <c r="A14" s="1" t="s">
        <v>18</v>
      </c>
      <c r="B14" s="2">
        <v>5531</v>
      </c>
      <c r="C14" s="3">
        <f t="shared" si="0"/>
        <v>0.35548557105212419</v>
      </c>
      <c r="D14" s="2">
        <v>6026</v>
      </c>
      <c r="E14" s="3">
        <f t="shared" si="1"/>
        <v>0.38729995500996206</v>
      </c>
      <c r="F14" s="2">
        <v>4002</v>
      </c>
      <c r="G14" s="3">
        <f t="shared" si="2"/>
        <v>0.25721447393791375</v>
      </c>
    </row>
    <row r="15" spans="1:7" ht="24" customHeight="1" x14ac:dyDescent="0.35">
      <c r="A15" s="1" t="s">
        <v>19</v>
      </c>
      <c r="B15" s="2">
        <v>5973</v>
      </c>
      <c r="C15" s="3">
        <f t="shared" si="0"/>
        <v>0.38768092425520867</v>
      </c>
      <c r="D15" s="2">
        <v>6248</v>
      </c>
      <c r="E15" s="3">
        <f t="shared" si="1"/>
        <v>0.40552995391705071</v>
      </c>
      <c r="F15" s="2">
        <v>3186</v>
      </c>
      <c r="G15" s="3">
        <f t="shared" si="2"/>
        <v>0.20678912182774065</v>
      </c>
    </row>
    <row r="16" spans="1:7" ht="24" customHeight="1" x14ac:dyDescent="0.35">
      <c r="A16" s="1" t="s">
        <v>20</v>
      </c>
      <c r="B16" s="2">
        <v>6815</v>
      </c>
      <c r="C16" s="3">
        <f t="shared" si="0"/>
        <v>0.39726027397260272</v>
      </c>
      <c r="D16" s="2">
        <v>6999</v>
      </c>
      <c r="E16" s="3">
        <f t="shared" si="1"/>
        <v>0.40798600990964734</v>
      </c>
      <c r="F16" s="2">
        <v>3341</v>
      </c>
      <c r="G16" s="3">
        <f t="shared" si="2"/>
        <v>0.19475371611774991</v>
      </c>
    </row>
    <row r="17" spans="1:7" ht="24" customHeight="1" x14ac:dyDescent="0.35">
      <c r="A17" s="1" t="s">
        <v>21</v>
      </c>
      <c r="B17" s="2">
        <v>4774</v>
      </c>
      <c r="C17" s="3">
        <f t="shared" si="0"/>
        <v>0.33629191321499013</v>
      </c>
      <c r="D17" s="2">
        <v>5423</v>
      </c>
      <c r="E17" s="3">
        <f t="shared" si="1"/>
        <v>0.38200901662440123</v>
      </c>
      <c r="F17" s="2">
        <v>3999</v>
      </c>
      <c r="G17" s="3">
        <f t="shared" si="2"/>
        <v>0.28169907016060863</v>
      </c>
    </row>
    <row r="18" spans="1:7" ht="24" customHeight="1" x14ac:dyDescent="0.35">
      <c r="A18" s="1" t="s">
        <v>22</v>
      </c>
      <c r="B18" s="2">
        <v>5356</v>
      </c>
      <c r="C18" s="3">
        <f t="shared" si="0"/>
        <v>0.32573131423706136</v>
      </c>
      <c r="D18" s="2">
        <v>6642</v>
      </c>
      <c r="E18" s="3">
        <f t="shared" si="1"/>
        <v>0.4039408866995074</v>
      </c>
      <c r="F18" s="2">
        <v>4445</v>
      </c>
      <c r="G18" s="3">
        <f t="shared" si="2"/>
        <v>0.27032779906343124</v>
      </c>
    </row>
    <row r="19" spans="1:7" ht="24" customHeight="1" x14ac:dyDescent="0.35">
      <c r="A19" s="1" t="s">
        <v>23</v>
      </c>
      <c r="B19" s="2">
        <v>3574</v>
      </c>
      <c r="C19" s="3">
        <f t="shared" si="0"/>
        <v>0.39452478198476654</v>
      </c>
      <c r="D19" s="2">
        <v>3486</v>
      </c>
      <c r="E19" s="3">
        <f t="shared" si="1"/>
        <v>0.38481068550612652</v>
      </c>
      <c r="F19" s="2">
        <v>1999</v>
      </c>
      <c r="G19" s="3">
        <f t="shared" si="2"/>
        <v>0.22066453250910698</v>
      </c>
    </row>
    <row r="20" spans="1:7" ht="24" customHeight="1" x14ac:dyDescent="0.35">
      <c r="A20" s="1" t="s">
        <v>24</v>
      </c>
      <c r="B20" s="2">
        <v>5882</v>
      </c>
      <c r="C20" s="3">
        <f t="shared" si="0"/>
        <v>0.34480332962072807</v>
      </c>
      <c r="D20" s="2">
        <v>6845</v>
      </c>
      <c r="E20" s="3">
        <f t="shared" si="1"/>
        <v>0.4012544697813471</v>
      </c>
      <c r="F20" s="2">
        <v>4332</v>
      </c>
      <c r="G20" s="3">
        <f t="shared" si="2"/>
        <v>0.25394220059792483</v>
      </c>
    </row>
    <row r="21" spans="1:7" ht="24" customHeight="1" x14ac:dyDescent="0.35">
      <c r="A21" s="1" t="s">
        <v>25</v>
      </c>
      <c r="B21" s="2">
        <v>5510</v>
      </c>
      <c r="C21" s="3">
        <f t="shared" si="0"/>
        <v>0.35548387096774192</v>
      </c>
      <c r="D21" s="2">
        <v>6426</v>
      </c>
      <c r="E21" s="3">
        <f t="shared" si="1"/>
        <v>0.41458064516129034</v>
      </c>
      <c r="F21" s="2">
        <v>3564</v>
      </c>
      <c r="G21" s="3">
        <f t="shared" si="2"/>
        <v>0.22993548387096774</v>
      </c>
    </row>
    <row r="22" spans="1:7" ht="24" customHeight="1" x14ac:dyDescent="0.35">
      <c r="A22" s="1" t="s">
        <v>26</v>
      </c>
      <c r="B22" s="2">
        <v>6445</v>
      </c>
      <c r="C22" s="3">
        <f t="shared" si="0"/>
        <v>0.39077184259989084</v>
      </c>
      <c r="D22" s="2">
        <v>6976</v>
      </c>
      <c r="E22" s="3">
        <f t="shared" si="1"/>
        <v>0.42296731946886557</v>
      </c>
      <c r="F22" s="2">
        <v>3072</v>
      </c>
      <c r="G22" s="3">
        <f t="shared" si="2"/>
        <v>0.18626083793124357</v>
      </c>
    </row>
    <row r="23" spans="1:7" ht="24" customHeight="1" x14ac:dyDescent="0.35">
      <c r="A23" s="1" t="s">
        <v>27</v>
      </c>
      <c r="B23" s="2">
        <v>5464</v>
      </c>
      <c r="C23" s="3">
        <f t="shared" si="0"/>
        <v>0.34630498161997719</v>
      </c>
      <c r="D23" s="2">
        <v>6278</v>
      </c>
      <c r="E23" s="3">
        <f t="shared" si="1"/>
        <v>0.39789580428444671</v>
      </c>
      <c r="F23" s="2">
        <v>4036</v>
      </c>
      <c r="G23" s="3">
        <f t="shared" si="2"/>
        <v>0.2557992140955761</v>
      </c>
    </row>
    <row r="24" spans="1:7" ht="24" customHeight="1" x14ac:dyDescent="0.35">
      <c r="A24" s="1" t="s">
        <v>28</v>
      </c>
      <c r="B24" s="2">
        <v>6343</v>
      </c>
      <c r="C24" s="3">
        <f t="shared" si="0"/>
        <v>0.37221994014435772</v>
      </c>
      <c r="D24" s="2">
        <v>6711</v>
      </c>
      <c r="E24" s="3">
        <f t="shared" si="1"/>
        <v>0.39381491696496684</v>
      </c>
      <c r="F24" s="2">
        <v>3987</v>
      </c>
      <c r="G24" s="3">
        <f t="shared" si="2"/>
        <v>0.23396514289067544</v>
      </c>
    </row>
    <row r="25" spans="1:7" ht="24" customHeight="1" x14ac:dyDescent="0.35">
      <c r="A25" s="1" t="s">
        <v>29</v>
      </c>
      <c r="B25" s="2">
        <v>5883</v>
      </c>
      <c r="C25" s="3">
        <f t="shared" si="0"/>
        <v>0.36375440549063254</v>
      </c>
      <c r="D25" s="2">
        <v>6443</v>
      </c>
      <c r="E25" s="3">
        <f t="shared" si="1"/>
        <v>0.39838001607617635</v>
      </c>
      <c r="F25" s="2">
        <v>3847</v>
      </c>
      <c r="G25" s="3">
        <f t="shared" si="2"/>
        <v>0.23786557843319112</v>
      </c>
    </row>
    <row r="26" spans="1:7" ht="24" customHeight="1" x14ac:dyDescent="0.35">
      <c r="A26" s="1" t="s">
        <v>30</v>
      </c>
      <c r="B26" s="2">
        <v>5543</v>
      </c>
      <c r="C26" s="3">
        <f t="shared" si="0"/>
        <v>0.36153143751630579</v>
      </c>
      <c r="D26" s="2">
        <v>6030</v>
      </c>
      <c r="E26" s="3">
        <f t="shared" si="1"/>
        <v>0.39329506913644663</v>
      </c>
      <c r="F26" s="2">
        <v>3759</v>
      </c>
      <c r="G26" s="3">
        <f t="shared" si="2"/>
        <v>0.24517349334724758</v>
      </c>
    </row>
  </sheetData>
  <mergeCells count="3">
    <mergeCell ref="B1:C1"/>
    <mergeCell ref="D1:E1"/>
    <mergeCell ref="F1:G1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showGridLines="0" workbookViewId="0">
      <selection activeCell="B1" sqref="B1:C1"/>
    </sheetView>
  </sheetViews>
  <sheetFormatPr defaultRowHeight="14.5" x14ac:dyDescent="0.35"/>
  <cols>
    <col min="1" max="1" width="22.453125" customWidth="1"/>
    <col min="2" max="2" width="14" customWidth="1"/>
    <col min="3" max="3" width="12.7265625" customWidth="1"/>
    <col min="4" max="4" width="14" customWidth="1"/>
    <col min="5" max="5" width="12.7265625" customWidth="1"/>
    <col min="6" max="6" width="14" customWidth="1"/>
    <col min="7" max="7" width="12.7265625" customWidth="1"/>
  </cols>
  <sheetData>
    <row r="1" spans="1:7" ht="64.5" customHeight="1" x14ac:dyDescent="0.35">
      <c r="A1" s="5" t="s">
        <v>34</v>
      </c>
      <c r="B1" s="4" t="s">
        <v>31</v>
      </c>
      <c r="C1" s="4"/>
      <c r="D1" s="4" t="s">
        <v>32</v>
      </c>
      <c r="E1" s="4"/>
      <c r="F1" s="4" t="s">
        <v>33</v>
      </c>
      <c r="G1" s="4"/>
    </row>
    <row r="2" spans="1:7" ht="24" customHeight="1" x14ac:dyDescent="0.35">
      <c r="A2" s="1" t="s">
        <v>6</v>
      </c>
      <c r="B2" s="2">
        <v>103</v>
      </c>
      <c r="C2" s="3">
        <f t="shared" ref="C2:C26" si="0">B2/SUM(B2,D2,F2)</f>
        <v>7.4637681159420294E-2</v>
      </c>
      <c r="D2" s="2">
        <v>335</v>
      </c>
      <c r="E2" s="3">
        <f t="shared" ref="E2:E26" si="1">D2/SUM(B2,D2,F2)</f>
        <v>0.24275362318840579</v>
      </c>
      <c r="F2" s="2">
        <v>942</v>
      </c>
      <c r="G2" s="3">
        <f t="shared" ref="G2:G26" si="2">F2/SUM(B2,D2,F2)</f>
        <v>0.68260869565217386</v>
      </c>
    </row>
    <row r="3" spans="1:7" ht="24" customHeight="1" x14ac:dyDescent="0.35">
      <c r="A3" s="1" t="s">
        <v>7</v>
      </c>
      <c r="B3" s="2">
        <v>119</v>
      </c>
      <c r="C3" s="3">
        <f t="shared" si="0"/>
        <v>9.6905537459283389E-2</v>
      </c>
      <c r="D3" s="2">
        <v>383</v>
      </c>
      <c r="E3" s="3">
        <f t="shared" si="1"/>
        <v>0.31188925081433228</v>
      </c>
      <c r="F3" s="2">
        <v>726</v>
      </c>
      <c r="G3" s="3">
        <f t="shared" si="2"/>
        <v>0.59120521172638441</v>
      </c>
    </row>
    <row r="4" spans="1:7" ht="24" customHeight="1" x14ac:dyDescent="0.35">
      <c r="A4" s="1" t="s">
        <v>8</v>
      </c>
      <c r="B4" s="2">
        <v>212</v>
      </c>
      <c r="C4" s="3">
        <f t="shared" si="0"/>
        <v>0.15024805102763997</v>
      </c>
      <c r="D4" s="2">
        <v>436</v>
      </c>
      <c r="E4" s="3">
        <f t="shared" si="1"/>
        <v>0.30900070871722185</v>
      </c>
      <c r="F4" s="2">
        <v>763</v>
      </c>
      <c r="G4" s="3">
        <f t="shared" si="2"/>
        <v>0.54075124025513821</v>
      </c>
    </row>
    <row r="5" spans="1:7" ht="24" customHeight="1" x14ac:dyDescent="0.35">
      <c r="A5" s="1" t="s">
        <v>9</v>
      </c>
      <c r="B5" s="2">
        <v>146</v>
      </c>
      <c r="C5" s="3">
        <f t="shared" si="0"/>
        <v>8.1518704634282527E-2</v>
      </c>
      <c r="D5" s="2">
        <v>363</v>
      </c>
      <c r="E5" s="3">
        <f t="shared" si="1"/>
        <v>0.20268006700167504</v>
      </c>
      <c r="F5" s="2">
        <v>1282</v>
      </c>
      <c r="G5" s="3">
        <f t="shared" si="2"/>
        <v>0.71580122836404247</v>
      </c>
    </row>
    <row r="6" spans="1:7" ht="24" customHeight="1" x14ac:dyDescent="0.35">
      <c r="A6" s="1" t="s">
        <v>10</v>
      </c>
      <c r="B6" s="2">
        <v>147</v>
      </c>
      <c r="C6" s="3">
        <f t="shared" si="0"/>
        <v>8.2445316881660125E-2</v>
      </c>
      <c r="D6" s="2">
        <v>380</v>
      </c>
      <c r="E6" s="3">
        <f t="shared" si="1"/>
        <v>0.2131239484015704</v>
      </c>
      <c r="F6" s="2">
        <v>1256</v>
      </c>
      <c r="G6" s="3">
        <f t="shared" si="2"/>
        <v>0.70443073471676954</v>
      </c>
    </row>
    <row r="7" spans="1:7" ht="24" customHeight="1" x14ac:dyDescent="0.35">
      <c r="A7" s="1" t="s">
        <v>11</v>
      </c>
      <c r="B7" s="2">
        <v>148</v>
      </c>
      <c r="C7" s="3">
        <f t="shared" si="0"/>
        <v>7.8431372549019607E-2</v>
      </c>
      <c r="D7" s="2">
        <v>404</v>
      </c>
      <c r="E7" s="3">
        <f t="shared" si="1"/>
        <v>0.21409644939056705</v>
      </c>
      <c r="F7" s="2">
        <v>1335</v>
      </c>
      <c r="G7" s="3">
        <f t="shared" si="2"/>
        <v>0.7074721780604134</v>
      </c>
    </row>
    <row r="8" spans="1:7" ht="24" customHeight="1" x14ac:dyDescent="0.35">
      <c r="A8" s="1" t="s">
        <v>12</v>
      </c>
      <c r="B8" s="2">
        <v>131</v>
      </c>
      <c r="C8" s="3">
        <f t="shared" si="0"/>
        <v>6.8983675618746715E-2</v>
      </c>
      <c r="D8" s="2">
        <v>375</v>
      </c>
      <c r="E8" s="3">
        <f t="shared" si="1"/>
        <v>0.19747235387045814</v>
      </c>
      <c r="F8" s="2">
        <v>1393</v>
      </c>
      <c r="G8" s="3">
        <f t="shared" si="2"/>
        <v>0.73354397051079512</v>
      </c>
    </row>
    <row r="9" spans="1:7" ht="24" customHeight="1" x14ac:dyDescent="0.35">
      <c r="A9" s="1" t="s">
        <v>13</v>
      </c>
      <c r="B9" s="2">
        <v>137</v>
      </c>
      <c r="C9" s="3">
        <f t="shared" si="0"/>
        <v>7.6579094466182218E-2</v>
      </c>
      <c r="D9" s="2">
        <v>424</v>
      </c>
      <c r="E9" s="3">
        <f t="shared" si="1"/>
        <v>0.23700391280044716</v>
      </c>
      <c r="F9" s="2">
        <v>1228</v>
      </c>
      <c r="G9" s="3">
        <f t="shared" si="2"/>
        <v>0.68641699273337065</v>
      </c>
    </row>
    <row r="10" spans="1:7" ht="24" customHeight="1" x14ac:dyDescent="0.35">
      <c r="A10" s="1" t="s">
        <v>14</v>
      </c>
      <c r="B10" s="2">
        <v>151</v>
      </c>
      <c r="C10" s="3">
        <f t="shared" si="0"/>
        <v>8.305830583058306E-2</v>
      </c>
      <c r="D10" s="2">
        <v>438</v>
      </c>
      <c r="E10" s="3">
        <f t="shared" si="1"/>
        <v>0.24092409240924093</v>
      </c>
      <c r="F10" s="2">
        <v>1229</v>
      </c>
      <c r="G10" s="3">
        <f t="shared" si="2"/>
        <v>0.676017601760176</v>
      </c>
    </row>
    <row r="11" spans="1:7" ht="24" customHeight="1" x14ac:dyDescent="0.35">
      <c r="A11" s="1" t="s">
        <v>15</v>
      </c>
      <c r="B11" s="2">
        <v>147</v>
      </c>
      <c r="C11" s="3">
        <f t="shared" si="0"/>
        <v>7.4733096085409248E-2</v>
      </c>
      <c r="D11" s="2">
        <v>377</v>
      </c>
      <c r="E11" s="3">
        <f t="shared" si="1"/>
        <v>0.19166243009659381</v>
      </c>
      <c r="F11" s="2">
        <v>1443</v>
      </c>
      <c r="G11" s="3">
        <f t="shared" si="2"/>
        <v>0.73360447381799698</v>
      </c>
    </row>
    <row r="12" spans="1:7" ht="24" customHeight="1" x14ac:dyDescent="0.35">
      <c r="A12" s="1" t="s">
        <v>16</v>
      </c>
      <c r="B12" s="2">
        <v>142</v>
      </c>
      <c r="C12" s="3">
        <f t="shared" si="0"/>
        <v>7.438449449973808E-2</v>
      </c>
      <c r="D12" s="2">
        <v>404</v>
      </c>
      <c r="E12" s="3">
        <f t="shared" si="1"/>
        <v>0.21162912519643792</v>
      </c>
      <c r="F12" s="2">
        <v>1363</v>
      </c>
      <c r="G12" s="3">
        <f t="shared" si="2"/>
        <v>0.713986380303824</v>
      </c>
    </row>
    <row r="13" spans="1:7" ht="24" customHeight="1" x14ac:dyDescent="0.35">
      <c r="A13" s="1" t="s">
        <v>17</v>
      </c>
      <c r="B13" s="2">
        <v>118</v>
      </c>
      <c r="C13" s="3">
        <f t="shared" si="0"/>
        <v>6.0450819672131145E-2</v>
      </c>
      <c r="D13" s="2">
        <v>387</v>
      </c>
      <c r="E13" s="3">
        <f t="shared" si="1"/>
        <v>0.19825819672131148</v>
      </c>
      <c r="F13" s="2">
        <v>1447</v>
      </c>
      <c r="G13" s="3">
        <f t="shared" si="2"/>
        <v>0.74129098360655743</v>
      </c>
    </row>
    <row r="14" spans="1:7" ht="24" customHeight="1" x14ac:dyDescent="0.35">
      <c r="A14" s="1" t="s">
        <v>18</v>
      </c>
      <c r="B14" s="2">
        <v>159</v>
      </c>
      <c r="C14" s="3">
        <f t="shared" si="0"/>
        <v>8.0833756990340622E-2</v>
      </c>
      <c r="D14" s="2">
        <v>502</v>
      </c>
      <c r="E14" s="3">
        <f t="shared" si="1"/>
        <v>0.25521098118962887</v>
      </c>
      <c r="F14" s="2">
        <v>1306</v>
      </c>
      <c r="G14" s="3">
        <f t="shared" si="2"/>
        <v>0.66395526182003051</v>
      </c>
    </row>
    <row r="15" spans="1:7" ht="24" customHeight="1" x14ac:dyDescent="0.35">
      <c r="A15" s="1" t="s">
        <v>19</v>
      </c>
      <c r="B15" s="2">
        <v>206</v>
      </c>
      <c r="C15" s="3">
        <f t="shared" si="0"/>
        <v>0.12402167369054787</v>
      </c>
      <c r="D15" s="2">
        <v>546</v>
      </c>
      <c r="E15" s="3">
        <f t="shared" si="1"/>
        <v>0.32871763997591813</v>
      </c>
      <c r="F15" s="2">
        <v>909</v>
      </c>
      <c r="G15" s="3">
        <f t="shared" si="2"/>
        <v>0.54726068633353397</v>
      </c>
    </row>
    <row r="16" spans="1:7" ht="24" customHeight="1" x14ac:dyDescent="0.35">
      <c r="A16" s="1" t="s">
        <v>20</v>
      </c>
      <c r="B16" s="2">
        <v>197</v>
      </c>
      <c r="C16" s="3">
        <f t="shared" si="0"/>
        <v>0.11932162325863113</v>
      </c>
      <c r="D16" s="2">
        <v>563</v>
      </c>
      <c r="E16" s="3">
        <f t="shared" si="1"/>
        <v>0.3410054512416717</v>
      </c>
      <c r="F16" s="2">
        <v>891</v>
      </c>
      <c r="G16" s="3">
        <f t="shared" si="2"/>
        <v>0.53967292549969714</v>
      </c>
    </row>
    <row r="17" spans="1:7" ht="24" customHeight="1" x14ac:dyDescent="0.35">
      <c r="A17" s="1" t="s">
        <v>21</v>
      </c>
      <c r="B17" s="2">
        <v>172</v>
      </c>
      <c r="C17" s="3">
        <f t="shared" si="0"/>
        <v>8.0903104421448727E-2</v>
      </c>
      <c r="D17" s="2">
        <v>484</v>
      </c>
      <c r="E17" s="3">
        <f t="shared" si="1"/>
        <v>0.22765757290686736</v>
      </c>
      <c r="F17" s="2">
        <v>1470</v>
      </c>
      <c r="G17" s="3">
        <f t="shared" si="2"/>
        <v>0.69143932267168395</v>
      </c>
    </row>
    <row r="18" spans="1:7" ht="24" customHeight="1" x14ac:dyDescent="0.35">
      <c r="A18" s="1" t="s">
        <v>22</v>
      </c>
      <c r="B18" s="2">
        <v>165</v>
      </c>
      <c r="C18" s="3">
        <f t="shared" si="0"/>
        <v>7.395786642761093E-2</v>
      </c>
      <c r="D18" s="2">
        <v>492</v>
      </c>
      <c r="E18" s="3">
        <f t="shared" si="1"/>
        <v>0.22052891080233078</v>
      </c>
      <c r="F18" s="2">
        <v>1574</v>
      </c>
      <c r="G18" s="3">
        <f t="shared" si="2"/>
        <v>0.70551322277005823</v>
      </c>
    </row>
    <row r="19" spans="1:7" ht="24" customHeight="1" x14ac:dyDescent="0.35">
      <c r="A19" s="1" t="s">
        <v>23</v>
      </c>
      <c r="B19" s="2">
        <v>187</v>
      </c>
      <c r="C19" s="3">
        <f t="shared" si="0"/>
        <v>0.15178571428571427</v>
      </c>
      <c r="D19" s="2">
        <v>410</v>
      </c>
      <c r="E19" s="3">
        <f t="shared" si="1"/>
        <v>0.33279220779220781</v>
      </c>
      <c r="F19" s="2">
        <v>635</v>
      </c>
      <c r="G19" s="3">
        <f t="shared" si="2"/>
        <v>0.51542207792207795</v>
      </c>
    </row>
    <row r="20" spans="1:7" ht="24" customHeight="1" x14ac:dyDescent="0.35">
      <c r="A20" s="1" t="s">
        <v>24</v>
      </c>
      <c r="B20" s="2">
        <v>186</v>
      </c>
      <c r="C20" s="3">
        <f t="shared" si="0"/>
        <v>8.1364829396325458E-2</v>
      </c>
      <c r="D20" s="2">
        <v>485</v>
      </c>
      <c r="E20" s="3">
        <f t="shared" si="1"/>
        <v>0.21216097987751531</v>
      </c>
      <c r="F20" s="2">
        <v>1615</v>
      </c>
      <c r="G20" s="3">
        <f t="shared" si="2"/>
        <v>0.70647419072615925</v>
      </c>
    </row>
    <row r="21" spans="1:7" ht="24" customHeight="1" x14ac:dyDescent="0.35">
      <c r="A21" s="1" t="s">
        <v>25</v>
      </c>
      <c r="B21" s="2">
        <v>215</v>
      </c>
      <c r="C21" s="3">
        <f t="shared" si="0"/>
        <v>9.8941555453290378E-2</v>
      </c>
      <c r="D21" s="2">
        <v>569</v>
      </c>
      <c r="E21" s="3">
        <f t="shared" si="1"/>
        <v>0.26184997699033596</v>
      </c>
      <c r="F21" s="2">
        <v>1389</v>
      </c>
      <c r="G21" s="3">
        <f t="shared" si="2"/>
        <v>0.63920846755637373</v>
      </c>
    </row>
    <row r="22" spans="1:7" ht="24" customHeight="1" x14ac:dyDescent="0.35">
      <c r="A22" s="1" t="s">
        <v>26</v>
      </c>
      <c r="B22" s="2">
        <v>222</v>
      </c>
      <c r="C22" s="3">
        <f t="shared" si="0"/>
        <v>0.11028315946348734</v>
      </c>
      <c r="D22" s="2">
        <v>694</v>
      </c>
      <c r="E22" s="3">
        <f t="shared" si="1"/>
        <v>0.34475906607054146</v>
      </c>
      <c r="F22" s="2">
        <v>1097</v>
      </c>
      <c r="G22" s="3">
        <f t="shared" si="2"/>
        <v>0.54495777446597116</v>
      </c>
    </row>
    <row r="23" spans="1:7" ht="24" customHeight="1" x14ac:dyDescent="0.35">
      <c r="A23" s="1" t="s">
        <v>27</v>
      </c>
      <c r="B23" s="2">
        <v>160</v>
      </c>
      <c r="C23" s="3">
        <f t="shared" si="0"/>
        <v>7.3059360730593603E-2</v>
      </c>
      <c r="D23" s="2">
        <v>509</v>
      </c>
      <c r="E23" s="3">
        <f t="shared" si="1"/>
        <v>0.23242009132420091</v>
      </c>
      <c r="F23" s="2">
        <v>1521</v>
      </c>
      <c r="G23" s="3">
        <f t="shared" si="2"/>
        <v>0.69452054794520546</v>
      </c>
    </row>
    <row r="24" spans="1:7" ht="24" customHeight="1" x14ac:dyDescent="0.35">
      <c r="A24" s="1" t="s">
        <v>28</v>
      </c>
      <c r="B24" s="2">
        <v>189</v>
      </c>
      <c r="C24" s="3">
        <f t="shared" si="0"/>
        <v>8.3259911894273134E-2</v>
      </c>
      <c r="D24" s="2">
        <v>508</v>
      </c>
      <c r="E24" s="3">
        <f t="shared" si="1"/>
        <v>0.22378854625550662</v>
      </c>
      <c r="F24" s="2">
        <v>1573</v>
      </c>
      <c r="G24" s="3">
        <f t="shared" si="2"/>
        <v>0.69295154185022023</v>
      </c>
    </row>
    <row r="25" spans="1:7" ht="24" customHeight="1" x14ac:dyDescent="0.35">
      <c r="A25" s="1" t="s">
        <v>29</v>
      </c>
      <c r="B25" s="2">
        <v>217</v>
      </c>
      <c r="C25" s="3">
        <f t="shared" si="0"/>
        <v>9.2105263157894732E-2</v>
      </c>
      <c r="D25" s="2">
        <v>582</v>
      </c>
      <c r="E25" s="3">
        <f t="shared" si="1"/>
        <v>0.24702886247877759</v>
      </c>
      <c r="F25" s="2">
        <v>1557</v>
      </c>
      <c r="G25" s="3">
        <f t="shared" si="2"/>
        <v>0.66086587436332767</v>
      </c>
    </row>
    <row r="26" spans="1:7" ht="24" customHeight="1" x14ac:dyDescent="0.35">
      <c r="A26" s="1" t="s">
        <v>30</v>
      </c>
      <c r="B26" s="2">
        <v>196</v>
      </c>
      <c r="C26" s="3">
        <f t="shared" si="0"/>
        <v>8.3976006855184235E-2</v>
      </c>
      <c r="D26" s="2">
        <v>573</v>
      </c>
      <c r="E26" s="3">
        <f t="shared" si="1"/>
        <v>0.24550128534704371</v>
      </c>
      <c r="F26" s="2">
        <v>1565</v>
      </c>
      <c r="G26" s="3">
        <f t="shared" si="2"/>
        <v>0.67052270779777201</v>
      </c>
    </row>
  </sheetData>
  <mergeCells count="3">
    <mergeCell ref="B1:C1"/>
    <mergeCell ref="D1:E1"/>
    <mergeCell ref="F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平均每日使用次數</vt:lpstr>
      <vt:lpstr>乘客各搭乘次數區間月人數變化</vt:lpstr>
      <vt:lpstr>TPASS乘客分組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李姿儀</dc:creator>
  <cp:lastModifiedBy>姿儀 李</cp:lastModifiedBy>
  <dcterms:created xsi:type="dcterms:W3CDTF">2026-08-28T15:29:47Z</dcterms:created>
  <dcterms:modified xsi:type="dcterms:W3CDTF">2026-08-28T15:29:47Z</dcterms:modified>
</cp:coreProperties>
</file>