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9bc5ab95e55f5/文件/ChatGPT/運籌報告/outputs/20260828_taitung_city_clean_delivery/"/>
    </mc:Choice>
  </mc:AlternateContent>
  <xr:revisionPtr revIDLastSave="0" documentId="8_{789DE554-DCC5-4CEB-BE82-20ACDDCB0D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3年6月至115年6月臺東縣市區客運乘客各搭乘次數區間月人" sheetId="1" r:id="rId1"/>
    <sheet name="平均每日使用次數" sheetId="2" r:id="rId2"/>
    <sheet name="TPASS乘客分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E2" i="3"/>
  <c r="C2" i="3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G26" i="1"/>
  <c r="E26" i="1"/>
  <c r="C26" i="1"/>
  <c r="G25" i="1"/>
  <c r="E25" i="1"/>
  <c r="C25" i="1"/>
  <c r="G24" i="1"/>
  <c r="E24" i="1"/>
  <c r="C24" i="1"/>
  <c r="G23" i="1"/>
  <c r="E23" i="1"/>
  <c r="C23" i="1"/>
  <c r="G22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  <c r="G2" i="1"/>
  <c r="E2" i="1"/>
  <c r="C2" i="1"/>
</calcChain>
</file>

<file path=xl/sharedStrings.xml><?xml version="1.0" encoding="utf-8"?>
<sst xmlns="http://schemas.openxmlformats.org/spreadsheetml/2006/main" count="92" uniqueCount="39">
  <si>
    <t>僅一次</t>
  </si>
  <si>
    <t>僅一次百分比(%)</t>
  </si>
  <si>
    <t>二至四次</t>
  </si>
  <si>
    <t>二至四次百分比(%)</t>
  </si>
  <si>
    <t>五次以上</t>
  </si>
  <si>
    <t>五次以上百分比(%)</t>
  </si>
  <si>
    <t>113 年 6 月</t>
  </si>
  <si>
    <t>113 年 7 月</t>
  </si>
  <si>
    <t>113 年 8 月</t>
  </si>
  <si>
    <t>113 年 9 月</t>
  </si>
  <si>
    <t>113 年 10 月</t>
  </si>
  <si>
    <t>113 年 11 月</t>
  </si>
  <si>
    <t>113 年 12 月</t>
  </si>
  <si>
    <t>114 年 1 月</t>
  </si>
  <si>
    <t>114 年 2 月</t>
  </si>
  <si>
    <t>114 年 3 月</t>
  </si>
  <si>
    <t>114 年 4 月</t>
  </si>
  <si>
    <t>114 年 5 月</t>
  </si>
  <si>
    <t>114 年 6 月</t>
  </si>
  <si>
    <t>114 年 7 月</t>
  </si>
  <si>
    <t>114 年 8 月</t>
  </si>
  <si>
    <t>114 年 9 月</t>
  </si>
  <si>
    <t>114 年 10 月</t>
  </si>
  <si>
    <t>114 年 11 月</t>
  </si>
  <si>
    <t>114 年 12 月</t>
  </si>
  <si>
    <t>115 年 1 月</t>
  </si>
  <si>
    <t>115 年 2 月</t>
  </si>
  <si>
    <t>115 年 3 月</t>
  </si>
  <si>
    <t>115 年 4 月</t>
  </si>
  <si>
    <t>115 年 5 月</t>
  </si>
  <si>
    <t>115 年 6 月</t>
  </si>
  <si>
    <t>月份</t>
  </si>
  <si>
    <t>月總使用次數</t>
  </si>
  <si>
    <t>當月使用人數</t>
  </si>
  <si>
    <t>當月日數</t>
  </si>
  <si>
    <t>每人每月平均使用次數</t>
  </si>
  <si>
    <t>日均使用次數</t>
  </si>
  <si>
    <t xml:space="preserve">          搭乘次數
月份</t>
    <phoneticPr fontId="20" type="noConversion"/>
  </si>
  <si>
    <t xml:space="preserve">            搭乘次數
月份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</si>
</sst>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21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</font>
    <font>
      <sz val="9"/>
      <name val="細明體"/>
      <family val="3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3" fontId="19" fillId="0" borderId="11" xfId="0" applyNumberFormat="1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left" vertical="center"/>
    </xf>
    <xf numFmtId="3" fontId="19" fillId="33" borderId="11" xfId="0" applyNumberFormat="1" applyFont="1" applyFill="1" applyBorder="1" applyAlignment="1">
      <alignment horizontal="center" vertical="center"/>
    </xf>
    <xf numFmtId="177" fontId="19" fillId="33" borderId="11" xfId="0" applyNumberFormat="1" applyFont="1" applyFill="1" applyBorder="1" applyAlignment="1">
      <alignment horizontal="center" vertical="center"/>
    </xf>
    <xf numFmtId="176" fontId="19" fillId="33" borderId="11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left" vertical="center" wrapText="1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workbookViewId="0">
      <selection activeCell="C4" sqref="C4"/>
    </sheetView>
  </sheetViews>
  <sheetFormatPr defaultRowHeight="17" x14ac:dyDescent="0.4"/>
  <cols>
    <col min="1" max="1" width="21" customWidth="1"/>
    <col min="2" max="2" width="10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</cols>
  <sheetData>
    <row r="1" spans="1:7" ht="48" customHeight="1" x14ac:dyDescent="0.4">
      <c r="A1" s="1" t="s">
        <v>37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 ht="24" customHeight="1" x14ac:dyDescent="0.4">
      <c r="A2" s="2" t="s">
        <v>6</v>
      </c>
      <c r="B2" s="3">
        <v>3695</v>
      </c>
      <c r="C2" s="4">
        <f t="shared" ref="C2:C26" si="0">B2/SUM($B2,$D2,$F2)</f>
        <v>0.59606388127117282</v>
      </c>
      <c r="D2" s="3">
        <v>2263</v>
      </c>
      <c r="E2" s="4">
        <f t="shared" ref="E2:E26" si="1">D2/SUM($B2,$D2,$F2)</f>
        <v>0.36505888046459106</v>
      </c>
      <c r="F2" s="3">
        <v>241</v>
      </c>
      <c r="G2" s="4">
        <f t="shared" ref="G2:G26" si="2">F2/SUM($B2,$D2,$F2)</f>
        <v>3.8877238264236169E-2</v>
      </c>
    </row>
    <row r="3" spans="1:7" ht="24" customHeight="1" x14ac:dyDescent="0.4">
      <c r="A3" s="2" t="s">
        <v>7</v>
      </c>
      <c r="B3" s="3">
        <v>3862</v>
      </c>
      <c r="C3" s="4">
        <f t="shared" si="0"/>
        <v>0.6069464089266069</v>
      </c>
      <c r="D3" s="3">
        <v>2299</v>
      </c>
      <c r="E3" s="4">
        <f t="shared" si="1"/>
        <v>0.36130755932736131</v>
      </c>
      <c r="F3" s="3">
        <v>202</v>
      </c>
      <c r="G3" s="4">
        <f t="shared" si="2"/>
        <v>3.1746031746031744E-2</v>
      </c>
    </row>
    <row r="4" spans="1:7" ht="24" customHeight="1" x14ac:dyDescent="0.4">
      <c r="A4" s="2" t="s">
        <v>8</v>
      </c>
      <c r="B4" s="3">
        <v>4965</v>
      </c>
      <c r="C4" s="4">
        <f t="shared" si="0"/>
        <v>0.60394112638365161</v>
      </c>
      <c r="D4" s="3">
        <v>2978</v>
      </c>
      <c r="E4" s="4">
        <f t="shared" si="1"/>
        <v>0.36224303612699182</v>
      </c>
      <c r="F4" s="3">
        <v>278</v>
      </c>
      <c r="G4" s="4">
        <f t="shared" si="2"/>
        <v>3.3815837489356529E-2</v>
      </c>
    </row>
    <row r="5" spans="1:7" ht="24" customHeight="1" x14ac:dyDescent="0.4">
      <c r="A5" s="2" t="s">
        <v>9</v>
      </c>
      <c r="B5" s="3">
        <v>3864</v>
      </c>
      <c r="C5" s="4">
        <f t="shared" si="0"/>
        <v>0.55645161290322576</v>
      </c>
      <c r="D5" s="3">
        <v>2753</v>
      </c>
      <c r="E5" s="4">
        <f t="shared" si="1"/>
        <v>0.3964573732718894</v>
      </c>
      <c r="F5" s="3">
        <v>327</v>
      </c>
      <c r="G5" s="4">
        <f t="shared" si="2"/>
        <v>4.7091013824884793E-2</v>
      </c>
    </row>
    <row r="6" spans="1:7" ht="24" customHeight="1" x14ac:dyDescent="0.4">
      <c r="A6" s="2" t="s">
        <v>10</v>
      </c>
      <c r="B6" s="3">
        <v>3587</v>
      </c>
      <c r="C6" s="4">
        <f t="shared" si="0"/>
        <v>0.55483372003093578</v>
      </c>
      <c r="D6" s="3">
        <v>2535</v>
      </c>
      <c r="E6" s="4">
        <f t="shared" si="1"/>
        <v>0.39211136890951276</v>
      </c>
      <c r="F6" s="3">
        <v>343</v>
      </c>
      <c r="G6" s="4">
        <f t="shared" si="2"/>
        <v>5.3054911059551429E-2</v>
      </c>
    </row>
    <row r="7" spans="1:7" ht="24" customHeight="1" x14ac:dyDescent="0.4">
      <c r="A7" s="2" t="s">
        <v>11</v>
      </c>
      <c r="B7" s="3">
        <v>3863</v>
      </c>
      <c r="C7" s="4">
        <f t="shared" si="0"/>
        <v>0.51734297576001076</v>
      </c>
      <c r="D7" s="3">
        <v>3180</v>
      </c>
      <c r="E7" s="4">
        <f t="shared" si="1"/>
        <v>0.42587384491763758</v>
      </c>
      <c r="F7" s="3">
        <v>424</v>
      </c>
      <c r="G7" s="4">
        <f t="shared" si="2"/>
        <v>5.6783179322351683E-2</v>
      </c>
    </row>
    <row r="8" spans="1:7" ht="24" customHeight="1" x14ac:dyDescent="0.4">
      <c r="A8" s="2" t="s">
        <v>12</v>
      </c>
      <c r="B8" s="3">
        <v>3265</v>
      </c>
      <c r="C8" s="4">
        <f t="shared" si="0"/>
        <v>0.54745137491616369</v>
      </c>
      <c r="D8" s="3">
        <v>2319</v>
      </c>
      <c r="E8" s="4">
        <f t="shared" si="1"/>
        <v>0.38883299798792759</v>
      </c>
      <c r="F8" s="3">
        <v>380</v>
      </c>
      <c r="G8" s="4">
        <f t="shared" si="2"/>
        <v>6.3715627095908792E-2</v>
      </c>
    </row>
    <row r="9" spans="1:7" ht="24" customHeight="1" x14ac:dyDescent="0.4">
      <c r="A9" s="2" t="s">
        <v>13</v>
      </c>
      <c r="B9" s="3">
        <v>3025</v>
      </c>
      <c r="C9" s="4">
        <f t="shared" si="0"/>
        <v>0.57706982067913015</v>
      </c>
      <c r="D9" s="3">
        <v>1922</v>
      </c>
      <c r="E9" s="4">
        <f t="shared" si="1"/>
        <v>0.36665394887447539</v>
      </c>
      <c r="F9" s="3">
        <v>295</v>
      </c>
      <c r="G9" s="4">
        <f t="shared" si="2"/>
        <v>5.6276230446394508E-2</v>
      </c>
    </row>
    <row r="10" spans="1:7" ht="24" customHeight="1" x14ac:dyDescent="0.4">
      <c r="A10" s="2" t="s">
        <v>14</v>
      </c>
      <c r="B10" s="3">
        <v>2742</v>
      </c>
      <c r="C10" s="4">
        <f t="shared" si="0"/>
        <v>0.57665615141955839</v>
      </c>
      <c r="D10" s="3">
        <v>1708</v>
      </c>
      <c r="E10" s="4">
        <f t="shared" si="1"/>
        <v>0.35920084121976864</v>
      </c>
      <c r="F10" s="3">
        <v>305</v>
      </c>
      <c r="G10" s="4">
        <f t="shared" si="2"/>
        <v>6.4143007360672979E-2</v>
      </c>
    </row>
    <row r="11" spans="1:7" ht="24" customHeight="1" x14ac:dyDescent="0.4">
      <c r="A11" s="2" t="s">
        <v>15</v>
      </c>
      <c r="B11" s="3">
        <v>3211</v>
      </c>
      <c r="C11" s="4">
        <f t="shared" si="0"/>
        <v>0.5775179856115108</v>
      </c>
      <c r="D11" s="3">
        <v>2032</v>
      </c>
      <c r="E11" s="4">
        <f t="shared" si="1"/>
        <v>0.36546762589928056</v>
      </c>
      <c r="F11" s="3">
        <v>317</v>
      </c>
      <c r="G11" s="4">
        <f t="shared" si="2"/>
        <v>5.7014388489208631E-2</v>
      </c>
    </row>
    <row r="12" spans="1:7" ht="24" customHeight="1" x14ac:dyDescent="0.4">
      <c r="A12" s="2" t="s">
        <v>16</v>
      </c>
      <c r="B12" s="3">
        <v>3929</v>
      </c>
      <c r="C12" s="4">
        <f t="shared" si="0"/>
        <v>0.56621991641446889</v>
      </c>
      <c r="D12" s="3">
        <v>2693</v>
      </c>
      <c r="E12" s="4">
        <f t="shared" si="1"/>
        <v>0.38809626747369941</v>
      </c>
      <c r="F12" s="3">
        <v>317</v>
      </c>
      <c r="G12" s="4">
        <f t="shared" si="2"/>
        <v>4.5683816111831678E-2</v>
      </c>
    </row>
    <row r="13" spans="1:7" ht="24" customHeight="1" x14ac:dyDescent="0.4">
      <c r="A13" s="2" t="s">
        <v>17</v>
      </c>
      <c r="B13" s="3">
        <v>4290</v>
      </c>
      <c r="C13" s="4">
        <f t="shared" si="0"/>
        <v>0.58751027115858667</v>
      </c>
      <c r="D13" s="3">
        <v>2696</v>
      </c>
      <c r="E13" s="4">
        <f t="shared" si="1"/>
        <v>0.36921391399616543</v>
      </c>
      <c r="F13" s="3">
        <v>316</v>
      </c>
      <c r="G13" s="4">
        <f t="shared" si="2"/>
        <v>4.3275814845247874E-2</v>
      </c>
    </row>
    <row r="14" spans="1:7" ht="24" customHeight="1" x14ac:dyDescent="0.4">
      <c r="A14" s="2" t="s">
        <v>18</v>
      </c>
      <c r="B14" s="3">
        <v>4274</v>
      </c>
      <c r="C14" s="4">
        <f t="shared" si="0"/>
        <v>0.57562289562289559</v>
      </c>
      <c r="D14" s="3">
        <v>2829</v>
      </c>
      <c r="E14" s="4">
        <f t="shared" si="1"/>
        <v>0.38101010101010102</v>
      </c>
      <c r="F14" s="3">
        <v>322</v>
      </c>
      <c r="G14" s="4">
        <f t="shared" si="2"/>
        <v>4.3367003367003366E-2</v>
      </c>
    </row>
    <row r="15" spans="1:7" ht="24" customHeight="1" x14ac:dyDescent="0.4">
      <c r="A15" s="2" t="s">
        <v>19</v>
      </c>
      <c r="B15" s="3">
        <v>4241</v>
      </c>
      <c r="C15" s="4">
        <f t="shared" si="0"/>
        <v>0.60507918390640603</v>
      </c>
      <c r="D15" s="3">
        <v>2514</v>
      </c>
      <c r="E15" s="4">
        <f t="shared" si="1"/>
        <v>0.35868169496361818</v>
      </c>
      <c r="F15" s="3">
        <v>254</v>
      </c>
      <c r="G15" s="4">
        <f t="shared" si="2"/>
        <v>3.6239121129975745E-2</v>
      </c>
    </row>
    <row r="16" spans="1:7" ht="24" customHeight="1" x14ac:dyDescent="0.4">
      <c r="A16" s="2" t="s">
        <v>20</v>
      </c>
      <c r="B16" s="3">
        <v>4732</v>
      </c>
      <c r="C16" s="4">
        <f t="shared" si="0"/>
        <v>0.59687184661957615</v>
      </c>
      <c r="D16" s="3">
        <v>2963</v>
      </c>
      <c r="E16" s="4">
        <f t="shared" si="1"/>
        <v>0.37373864783047428</v>
      </c>
      <c r="F16" s="3">
        <v>233</v>
      </c>
      <c r="G16" s="4">
        <f t="shared" si="2"/>
        <v>2.9389505549949548E-2</v>
      </c>
    </row>
    <row r="17" spans="1:7" ht="24" customHeight="1" x14ac:dyDescent="0.4">
      <c r="A17" s="2" t="s">
        <v>21</v>
      </c>
      <c r="B17" s="3">
        <v>3386</v>
      </c>
      <c r="C17" s="4">
        <f t="shared" si="0"/>
        <v>0.59175113596644535</v>
      </c>
      <c r="D17" s="3">
        <v>2048</v>
      </c>
      <c r="E17" s="4">
        <f t="shared" si="1"/>
        <v>0.3579168123033904</v>
      </c>
      <c r="F17" s="3">
        <v>288</v>
      </c>
      <c r="G17" s="4">
        <f t="shared" si="2"/>
        <v>5.0332051730164279E-2</v>
      </c>
    </row>
    <row r="18" spans="1:7" ht="24" customHeight="1" x14ac:dyDescent="0.4">
      <c r="A18" s="2" t="s">
        <v>22</v>
      </c>
      <c r="B18" s="3">
        <v>3956</v>
      </c>
      <c r="C18" s="4">
        <f t="shared" si="0"/>
        <v>0.57920937042459741</v>
      </c>
      <c r="D18" s="3">
        <v>2561</v>
      </c>
      <c r="E18" s="4">
        <f t="shared" si="1"/>
        <v>0.37496339677891655</v>
      </c>
      <c r="F18" s="3">
        <v>313</v>
      </c>
      <c r="G18" s="4">
        <f t="shared" si="2"/>
        <v>4.5827232796486088E-2</v>
      </c>
    </row>
    <row r="19" spans="1:7" ht="24" customHeight="1" x14ac:dyDescent="0.4">
      <c r="A19" s="2" t="s">
        <v>23</v>
      </c>
      <c r="B19" s="3">
        <v>3161</v>
      </c>
      <c r="C19" s="4">
        <f t="shared" si="0"/>
        <v>0.56537292076551604</v>
      </c>
      <c r="D19" s="3">
        <v>2148</v>
      </c>
      <c r="E19" s="4">
        <f t="shared" si="1"/>
        <v>0.38418887497764265</v>
      </c>
      <c r="F19" s="3">
        <v>282</v>
      </c>
      <c r="G19" s="4">
        <f t="shared" si="2"/>
        <v>5.0438204256841354E-2</v>
      </c>
    </row>
    <row r="20" spans="1:7" ht="24" customHeight="1" x14ac:dyDescent="0.4">
      <c r="A20" s="2" t="s">
        <v>24</v>
      </c>
      <c r="B20" s="3">
        <v>3754</v>
      </c>
      <c r="C20" s="4">
        <f t="shared" si="0"/>
        <v>0.57869585324495143</v>
      </c>
      <c r="D20" s="3">
        <v>2414</v>
      </c>
      <c r="E20" s="4">
        <f t="shared" si="1"/>
        <v>0.37212887313087711</v>
      </c>
      <c r="F20" s="3">
        <v>319</v>
      </c>
      <c r="G20" s="4">
        <f t="shared" si="2"/>
        <v>4.9175273624171421E-2</v>
      </c>
    </row>
    <row r="21" spans="1:7" ht="24" customHeight="1" x14ac:dyDescent="0.4">
      <c r="A21" s="2" t="s">
        <v>25</v>
      </c>
      <c r="B21" s="3">
        <v>3217</v>
      </c>
      <c r="C21" s="4">
        <f t="shared" si="0"/>
        <v>0.57984859408795963</v>
      </c>
      <c r="D21" s="3">
        <v>2033</v>
      </c>
      <c r="E21" s="4">
        <f t="shared" si="1"/>
        <v>0.36643835616438358</v>
      </c>
      <c r="F21" s="3">
        <v>298</v>
      </c>
      <c r="G21" s="4">
        <f t="shared" si="2"/>
        <v>5.371304974765681E-2</v>
      </c>
    </row>
    <row r="22" spans="1:7" ht="24" customHeight="1" x14ac:dyDescent="0.4">
      <c r="A22" s="2" t="s">
        <v>26</v>
      </c>
      <c r="B22" s="3">
        <v>3517</v>
      </c>
      <c r="C22" s="4">
        <f t="shared" si="0"/>
        <v>0.59731657608695654</v>
      </c>
      <c r="D22" s="3">
        <v>2165</v>
      </c>
      <c r="E22" s="4">
        <f t="shared" si="1"/>
        <v>0.36769701086956524</v>
      </c>
      <c r="F22" s="3">
        <v>206</v>
      </c>
      <c r="G22" s="4">
        <f t="shared" si="2"/>
        <v>3.4986413043478264E-2</v>
      </c>
    </row>
    <row r="23" spans="1:7" ht="24" customHeight="1" x14ac:dyDescent="0.4">
      <c r="A23" s="2" t="s">
        <v>27</v>
      </c>
      <c r="B23" s="3">
        <v>3421</v>
      </c>
      <c r="C23" s="4">
        <f t="shared" si="0"/>
        <v>0.58180272108843534</v>
      </c>
      <c r="D23" s="3">
        <v>2172</v>
      </c>
      <c r="E23" s="4">
        <f t="shared" si="1"/>
        <v>0.3693877551020408</v>
      </c>
      <c r="F23" s="3">
        <v>287</v>
      </c>
      <c r="G23" s="4">
        <f t="shared" si="2"/>
        <v>4.880952380952381E-2</v>
      </c>
    </row>
    <row r="24" spans="1:7" ht="24" customHeight="1" x14ac:dyDescent="0.4">
      <c r="A24" s="2" t="s">
        <v>28</v>
      </c>
      <c r="B24" s="3">
        <v>4093</v>
      </c>
      <c r="C24" s="4">
        <f t="shared" si="0"/>
        <v>0.5947399011915141</v>
      </c>
      <c r="D24" s="3">
        <v>2522</v>
      </c>
      <c r="E24" s="4">
        <f t="shared" si="1"/>
        <v>0.36646323743097936</v>
      </c>
      <c r="F24" s="3">
        <v>267</v>
      </c>
      <c r="G24" s="4">
        <f t="shared" si="2"/>
        <v>3.8796861377506542E-2</v>
      </c>
    </row>
    <row r="25" spans="1:7" ht="24" customHeight="1" x14ac:dyDescent="0.4">
      <c r="A25" s="2" t="s">
        <v>29</v>
      </c>
      <c r="B25" s="3">
        <v>4653</v>
      </c>
      <c r="C25" s="4">
        <f t="shared" si="0"/>
        <v>0.56066996023617299</v>
      </c>
      <c r="D25" s="3">
        <v>3275</v>
      </c>
      <c r="E25" s="4">
        <f t="shared" si="1"/>
        <v>0.39462585853717314</v>
      </c>
      <c r="F25" s="3">
        <v>371</v>
      </c>
      <c r="G25" s="4">
        <f t="shared" si="2"/>
        <v>4.4704181226653816E-2</v>
      </c>
    </row>
    <row r="26" spans="1:7" ht="24" customHeight="1" x14ac:dyDescent="0.4">
      <c r="A26" s="2" t="s">
        <v>30</v>
      </c>
      <c r="B26" s="3">
        <v>4054</v>
      </c>
      <c r="C26" s="4">
        <f t="shared" si="0"/>
        <v>0.57823420339466558</v>
      </c>
      <c r="D26" s="3">
        <v>2637</v>
      </c>
      <c r="E26" s="4">
        <f t="shared" si="1"/>
        <v>0.37612323491655969</v>
      </c>
      <c r="F26" s="3">
        <v>320</v>
      </c>
      <c r="G26" s="4">
        <f t="shared" si="2"/>
        <v>4.5642561688774785E-2</v>
      </c>
    </row>
  </sheetData>
  <mergeCells count="3">
    <mergeCell ref="B1:C1"/>
    <mergeCell ref="D1:E1"/>
    <mergeCell ref="F1:G1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7" x14ac:dyDescent="0.4"/>
  <cols>
    <col min="1" max="1" width="22.453125" customWidth="1"/>
    <col min="2" max="3" width="18.08984375" customWidth="1"/>
    <col min="4" max="4" width="15" customWidth="1"/>
    <col min="5" max="5" width="26.26953125" customWidth="1"/>
    <col min="6" max="6" width="18.7265625" customWidth="1"/>
  </cols>
  <sheetData>
    <row r="1" spans="1:6" ht="32" customHeight="1" x14ac:dyDescent="0.4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spans="1:6" ht="16" customHeight="1" x14ac:dyDescent="0.4">
      <c r="A2" s="6" t="s">
        <v>6</v>
      </c>
      <c r="B2" s="7">
        <v>11503</v>
      </c>
      <c r="C2" s="7">
        <v>6199</v>
      </c>
      <c r="D2" s="7">
        <v>30</v>
      </c>
      <c r="E2" s="8">
        <f t="shared" ref="E2:E26" si="0">B2/C2</f>
        <v>1.8556218744958863</v>
      </c>
      <c r="F2" s="8">
        <f t="shared" ref="F2:F26" si="1">E2/D2</f>
        <v>6.1854062483196214E-2</v>
      </c>
    </row>
    <row r="3" spans="1:6" ht="16" customHeight="1" x14ac:dyDescent="0.4">
      <c r="A3" s="6" t="s">
        <v>7</v>
      </c>
      <c r="B3" s="7">
        <v>11343</v>
      </c>
      <c r="C3" s="7">
        <v>6363</v>
      </c>
      <c r="D3" s="7">
        <v>31</v>
      </c>
      <c r="E3" s="8">
        <f t="shared" si="0"/>
        <v>1.7826496935407827</v>
      </c>
      <c r="F3" s="8">
        <f t="shared" si="1"/>
        <v>5.7504828823896216E-2</v>
      </c>
    </row>
    <row r="4" spans="1:6" ht="16" customHeight="1" x14ac:dyDescent="0.4">
      <c r="A4" s="6" t="s">
        <v>8</v>
      </c>
      <c r="B4" s="7">
        <v>14507</v>
      </c>
      <c r="C4" s="7">
        <v>8221</v>
      </c>
      <c r="D4" s="7">
        <v>31</v>
      </c>
      <c r="E4" s="8">
        <f t="shared" si="0"/>
        <v>1.7646271743096946</v>
      </c>
      <c r="F4" s="8">
        <f t="shared" si="1"/>
        <v>5.6923457235796601E-2</v>
      </c>
    </row>
    <row r="5" spans="1:6" ht="16" customHeight="1" x14ac:dyDescent="0.4">
      <c r="A5" s="6" t="s">
        <v>9</v>
      </c>
      <c r="B5" s="7">
        <v>13915</v>
      </c>
      <c r="C5" s="7">
        <v>6944</v>
      </c>
      <c r="D5" s="7">
        <v>30</v>
      </c>
      <c r="E5" s="8">
        <f t="shared" si="0"/>
        <v>2.0038882488479262</v>
      </c>
      <c r="F5" s="8">
        <f t="shared" si="1"/>
        <v>6.679627496159754E-2</v>
      </c>
    </row>
    <row r="6" spans="1:6" ht="16" customHeight="1" x14ac:dyDescent="0.4">
      <c r="A6" s="6" t="s">
        <v>10</v>
      </c>
      <c r="B6" s="7">
        <v>12989</v>
      </c>
      <c r="C6" s="7">
        <v>6465</v>
      </c>
      <c r="D6" s="7">
        <v>31</v>
      </c>
      <c r="E6" s="8">
        <f t="shared" si="0"/>
        <v>2.0091260634184067</v>
      </c>
      <c r="F6" s="8">
        <f t="shared" si="1"/>
        <v>6.4810518174787307E-2</v>
      </c>
    </row>
    <row r="7" spans="1:6" ht="16" customHeight="1" x14ac:dyDescent="0.4">
      <c r="A7" s="6" t="s">
        <v>11</v>
      </c>
      <c r="B7" s="7">
        <v>15459</v>
      </c>
      <c r="C7" s="7">
        <v>7467</v>
      </c>
      <c r="D7" s="7">
        <v>30</v>
      </c>
      <c r="E7" s="8">
        <f t="shared" si="0"/>
        <v>2.0703093611892327</v>
      </c>
      <c r="F7" s="8">
        <f t="shared" si="1"/>
        <v>6.9010312039641086E-2</v>
      </c>
    </row>
    <row r="8" spans="1:6" ht="16" customHeight="1" x14ac:dyDescent="0.4">
      <c r="A8" s="6" t="s">
        <v>12</v>
      </c>
      <c r="B8" s="7">
        <v>13546</v>
      </c>
      <c r="C8" s="7">
        <v>5964</v>
      </c>
      <c r="D8" s="7">
        <v>31</v>
      </c>
      <c r="E8" s="8">
        <f t="shared" si="0"/>
        <v>2.2712944332662643</v>
      </c>
      <c r="F8" s="8">
        <f t="shared" si="1"/>
        <v>7.3267562363427879E-2</v>
      </c>
    </row>
    <row r="9" spans="1:6" ht="16" customHeight="1" x14ac:dyDescent="0.4">
      <c r="A9" s="6" t="s">
        <v>13</v>
      </c>
      <c r="B9" s="7">
        <v>10807</v>
      </c>
      <c r="C9" s="7">
        <v>5242</v>
      </c>
      <c r="D9" s="7">
        <v>31</v>
      </c>
      <c r="E9" s="8">
        <f t="shared" si="0"/>
        <v>2.0616177031667302</v>
      </c>
      <c r="F9" s="8">
        <f t="shared" si="1"/>
        <v>6.6503796876346138E-2</v>
      </c>
    </row>
    <row r="10" spans="1:6" ht="16" customHeight="1" x14ac:dyDescent="0.4">
      <c r="A10" s="6" t="s">
        <v>14</v>
      </c>
      <c r="B10" s="7">
        <v>9960</v>
      </c>
      <c r="C10" s="7">
        <v>4755</v>
      </c>
      <c r="D10" s="7">
        <v>28</v>
      </c>
      <c r="E10" s="8">
        <f t="shared" si="0"/>
        <v>2.0946372239747633</v>
      </c>
      <c r="F10" s="8">
        <f t="shared" si="1"/>
        <v>7.480847228481298E-2</v>
      </c>
    </row>
    <row r="11" spans="1:6" ht="16" customHeight="1" x14ac:dyDescent="0.4">
      <c r="A11" s="6" t="s">
        <v>15</v>
      </c>
      <c r="B11" s="7">
        <v>12037</v>
      </c>
      <c r="C11" s="7">
        <v>5560</v>
      </c>
      <c r="D11" s="7">
        <v>31</v>
      </c>
      <c r="E11" s="8">
        <f t="shared" si="0"/>
        <v>2.1649280575539569</v>
      </c>
      <c r="F11" s="8">
        <f t="shared" si="1"/>
        <v>6.9836388953353451E-2</v>
      </c>
    </row>
    <row r="12" spans="1:6" ht="16" customHeight="1" x14ac:dyDescent="0.4">
      <c r="A12" s="6" t="s">
        <v>16</v>
      </c>
      <c r="B12" s="7">
        <v>14114</v>
      </c>
      <c r="C12" s="7">
        <v>6939</v>
      </c>
      <c r="D12" s="7">
        <v>30</v>
      </c>
      <c r="E12" s="8">
        <f t="shared" si="0"/>
        <v>2.0340106643608591</v>
      </c>
      <c r="F12" s="8">
        <f t="shared" si="1"/>
        <v>6.7800355478695298E-2</v>
      </c>
    </row>
    <row r="13" spans="1:6" ht="16" customHeight="1" x14ac:dyDescent="0.4">
      <c r="A13" s="6" t="s">
        <v>17</v>
      </c>
      <c r="B13" s="7">
        <v>14615</v>
      </c>
      <c r="C13" s="7">
        <v>7302</v>
      </c>
      <c r="D13" s="7">
        <v>31</v>
      </c>
      <c r="E13" s="8">
        <f t="shared" si="0"/>
        <v>2.0015064365927144</v>
      </c>
      <c r="F13" s="8">
        <f t="shared" si="1"/>
        <v>6.4564723761055307E-2</v>
      </c>
    </row>
    <row r="14" spans="1:6" ht="16" customHeight="1" x14ac:dyDescent="0.4">
      <c r="A14" s="6" t="s">
        <v>18</v>
      </c>
      <c r="B14" s="7">
        <v>14883</v>
      </c>
      <c r="C14" s="7">
        <v>7425</v>
      </c>
      <c r="D14" s="7">
        <v>30</v>
      </c>
      <c r="E14" s="8">
        <f t="shared" si="0"/>
        <v>2.0044444444444443</v>
      </c>
      <c r="F14" s="8">
        <f t="shared" si="1"/>
        <v>6.6814814814814813E-2</v>
      </c>
    </row>
    <row r="15" spans="1:6" ht="16" customHeight="1" x14ac:dyDescent="0.4">
      <c r="A15" s="6" t="s">
        <v>19</v>
      </c>
      <c r="B15" s="7">
        <v>12627</v>
      </c>
      <c r="C15" s="7">
        <v>7009</v>
      </c>
      <c r="D15" s="7">
        <v>31</v>
      </c>
      <c r="E15" s="8">
        <f t="shared" si="0"/>
        <v>1.8015408760165501</v>
      </c>
      <c r="F15" s="8">
        <f t="shared" si="1"/>
        <v>5.8114221806985486E-2</v>
      </c>
    </row>
    <row r="16" spans="1:6" ht="16" customHeight="1" x14ac:dyDescent="0.4">
      <c r="A16" s="6" t="s">
        <v>20</v>
      </c>
      <c r="B16" s="7">
        <v>14053</v>
      </c>
      <c r="C16" s="7">
        <v>7928</v>
      </c>
      <c r="D16" s="7">
        <v>31</v>
      </c>
      <c r="E16" s="8">
        <f t="shared" si="0"/>
        <v>1.7725782038345106</v>
      </c>
      <c r="F16" s="8">
        <f t="shared" si="1"/>
        <v>5.7179942059177764E-2</v>
      </c>
    </row>
    <row r="17" spans="1:6" ht="16" customHeight="1" x14ac:dyDescent="0.4">
      <c r="A17" s="6" t="s">
        <v>21</v>
      </c>
      <c r="B17" s="7">
        <v>11218</v>
      </c>
      <c r="C17" s="7">
        <v>5722</v>
      </c>
      <c r="D17" s="7">
        <v>30</v>
      </c>
      <c r="E17" s="8">
        <f t="shared" si="0"/>
        <v>1.9605033205173017</v>
      </c>
      <c r="F17" s="8">
        <f t="shared" si="1"/>
        <v>6.5350110683910057E-2</v>
      </c>
    </row>
    <row r="18" spans="1:6" ht="16" customHeight="1" x14ac:dyDescent="0.4">
      <c r="A18" s="6" t="s">
        <v>22</v>
      </c>
      <c r="B18" s="7">
        <v>13730</v>
      </c>
      <c r="C18" s="7">
        <v>6830</v>
      </c>
      <c r="D18" s="7">
        <v>31</v>
      </c>
      <c r="E18" s="8">
        <f t="shared" si="0"/>
        <v>2.0102489019033674</v>
      </c>
      <c r="F18" s="8">
        <f t="shared" si="1"/>
        <v>6.484673877107637E-2</v>
      </c>
    </row>
    <row r="19" spans="1:6" ht="16" customHeight="1" x14ac:dyDescent="0.4">
      <c r="A19" s="6" t="s">
        <v>23</v>
      </c>
      <c r="B19" s="7">
        <v>11433</v>
      </c>
      <c r="C19" s="7">
        <v>5591</v>
      </c>
      <c r="D19" s="7">
        <v>30</v>
      </c>
      <c r="E19" s="8">
        <f t="shared" si="0"/>
        <v>2.0448935789661955</v>
      </c>
      <c r="F19" s="8">
        <f t="shared" si="1"/>
        <v>6.8163119298873184E-2</v>
      </c>
    </row>
    <row r="20" spans="1:6" ht="16" customHeight="1" x14ac:dyDescent="0.4">
      <c r="A20" s="6" t="s">
        <v>24</v>
      </c>
      <c r="B20" s="7">
        <v>13272</v>
      </c>
      <c r="C20" s="7">
        <v>6487</v>
      </c>
      <c r="D20" s="7">
        <v>31</v>
      </c>
      <c r="E20" s="8">
        <f t="shared" si="0"/>
        <v>2.0459380299059657</v>
      </c>
      <c r="F20" s="8">
        <f t="shared" si="1"/>
        <v>6.5998000964708578E-2</v>
      </c>
    </row>
    <row r="21" spans="1:6" ht="16" customHeight="1" x14ac:dyDescent="0.4">
      <c r="A21" s="6" t="s">
        <v>25</v>
      </c>
      <c r="B21" s="7">
        <v>11423</v>
      </c>
      <c r="C21" s="7">
        <v>5548</v>
      </c>
      <c r="D21" s="7">
        <v>31</v>
      </c>
      <c r="E21" s="8">
        <f t="shared" si="0"/>
        <v>2.0589401586157172</v>
      </c>
      <c r="F21" s="8">
        <f t="shared" si="1"/>
        <v>6.6417424471474751E-2</v>
      </c>
    </row>
    <row r="22" spans="1:6" ht="16" customHeight="1" x14ac:dyDescent="0.4">
      <c r="A22" s="6" t="s">
        <v>26</v>
      </c>
      <c r="B22" s="7">
        <v>10483</v>
      </c>
      <c r="C22" s="7">
        <v>5888</v>
      </c>
      <c r="D22" s="7">
        <v>28</v>
      </c>
      <c r="E22" s="8">
        <f t="shared" si="0"/>
        <v>1.7804008152173914</v>
      </c>
      <c r="F22" s="8">
        <f t="shared" si="1"/>
        <v>6.358574340062112E-2</v>
      </c>
    </row>
    <row r="23" spans="1:6" ht="16" customHeight="1" x14ac:dyDescent="0.4">
      <c r="A23" s="6" t="s">
        <v>27</v>
      </c>
      <c r="B23" s="7">
        <v>12073</v>
      </c>
      <c r="C23" s="7">
        <v>5880</v>
      </c>
      <c r="D23" s="7">
        <v>31</v>
      </c>
      <c r="E23" s="8">
        <f t="shared" si="0"/>
        <v>2.0532312925170069</v>
      </c>
      <c r="F23" s="8">
        <f t="shared" si="1"/>
        <v>6.6233267500548615E-2</v>
      </c>
    </row>
    <row r="24" spans="1:6" ht="16" customHeight="1" x14ac:dyDescent="0.4">
      <c r="A24" s="6" t="s">
        <v>28</v>
      </c>
      <c r="B24" s="7">
        <v>12648</v>
      </c>
      <c r="C24" s="7">
        <v>6882</v>
      </c>
      <c r="D24" s="7">
        <v>30</v>
      </c>
      <c r="E24" s="8">
        <f t="shared" si="0"/>
        <v>1.8378378378378379</v>
      </c>
      <c r="F24" s="8">
        <f t="shared" si="1"/>
        <v>6.1261261261261267E-2</v>
      </c>
    </row>
    <row r="25" spans="1:6" ht="16" customHeight="1" x14ac:dyDescent="0.4">
      <c r="A25" s="6" t="s">
        <v>29</v>
      </c>
      <c r="B25" s="7">
        <v>16134</v>
      </c>
      <c r="C25" s="7">
        <v>8299</v>
      </c>
      <c r="D25" s="7">
        <v>31</v>
      </c>
      <c r="E25" s="8">
        <f t="shared" si="0"/>
        <v>1.9440896493553441</v>
      </c>
      <c r="F25" s="8">
        <f t="shared" si="1"/>
        <v>6.2712569334043358E-2</v>
      </c>
    </row>
    <row r="26" spans="1:6" ht="16" customHeight="1" x14ac:dyDescent="0.4">
      <c r="A26" s="6" t="s">
        <v>30</v>
      </c>
      <c r="B26" s="7">
        <v>13533</v>
      </c>
      <c r="C26" s="7">
        <v>7011</v>
      </c>
      <c r="D26" s="7">
        <v>30</v>
      </c>
      <c r="E26" s="8">
        <f t="shared" si="0"/>
        <v>1.930252460419341</v>
      </c>
      <c r="F26" s="8">
        <f t="shared" si="1"/>
        <v>6.4341748680644698E-2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F1" sqref="F1:G1"/>
    </sheetView>
  </sheetViews>
  <sheetFormatPr defaultRowHeight="17" x14ac:dyDescent="0.4"/>
  <cols>
    <col min="1" max="1" width="22.453125" customWidth="1"/>
    <col min="2" max="2" width="14" customWidth="1"/>
    <col min="3" max="3" width="12.7265625" customWidth="1"/>
    <col min="4" max="4" width="14" customWidth="1"/>
    <col min="5" max="5" width="12.7265625" customWidth="1"/>
    <col min="6" max="6" width="14" customWidth="1"/>
    <col min="7" max="7" width="12.7265625" customWidth="1"/>
  </cols>
  <sheetData>
    <row r="1" spans="1:7" ht="43" customHeight="1" x14ac:dyDescent="0.4">
      <c r="A1" s="12" t="s">
        <v>38</v>
      </c>
      <c r="B1" s="11" t="s">
        <v>0</v>
      </c>
      <c r="C1" s="11"/>
      <c r="D1" s="11" t="s">
        <v>2</v>
      </c>
      <c r="E1" s="11"/>
      <c r="F1" s="11" t="s">
        <v>4</v>
      </c>
      <c r="G1" s="11"/>
    </row>
    <row r="2" spans="1:7" ht="16" customHeight="1" x14ac:dyDescent="0.4">
      <c r="A2" s="6" t="s">
        <v>6</v>
      </c>
      <c r="B2" s="7">
        <v>76</v>
      </c>
      <c r="C2" s="9">
        <f t="shared" ref="C2:C26" si="0">B2/SUM($B2,$D2,$F2)</f>
        <v>0.36018957345971564</v>
      </c>
      <c r="D2" s="7">
        <v>56</v>
      </c>
      <c r="E2" s="9">
        <f t="shared" ref="E2:E26" si="1">D2/SUM($B2,$D2,$F2)</f>
        <v>0.26540284360189575</v>
      </c>
      <c r="F2" s="7">
        <v>79</v>
      </c>
      <c r="G2" s="9">
        <f t="shared" ref="G2:G26" si="2">F2/SUM($B2,$D2,$F2)</f>
        <v>0.37440758293838861</v>
      </c>
    </row>
    <row r="3" spans="1:7" ht="16" customHeight="1" x14ac:dyDescent="0.4">
      <c r="A3" s="6" t="s">
        <v>7</v>
      </c>
      <c r="B3" s="7">
        <v>54</v>
      </c>
      <c r="C3" s="9">
        <f t="shared" si="0"/>
        <v>0.33750000000000002</v>
      </c>
      <c r="D3" s="7">
        <v>59</v>
      </c>
      <c r="E3" s="9">
        <f t="shared" si="1"/>
        <v>0.36875000000000002</v>
      </c>
      <c r="F3" s="7">
        <v>47</v>
      </c>
      <c r="G3" s="9">
        <f t="shared" si="2"/>
        <v>0.29375000000000001</v>
      </c>
    </row>
    <row r="4" spans="1:7" ht="16" customHeight="1" x14ac:dyDescent="0.4">
      <c r="A4" s="6" t="s">
        <v>8</v>
      </c>
      <c r="B4" s="7">
        <v>99</v>
      </c>
      <c r="C4" s="9">
        <f t="shared" si="0"/>
        <v>0.43612334801762115</v>
      </c>
      <c r="D4" s="7">
        <v>79</v>
      </c>
      <c r="E4" s="9">
        <f t="shared" si="1"/>
        <v>0.34801762114537443</v>
      </c>
      <c r="F4" s="7">
        <v>49</v>
      </c>
      <c r="G4" s="9">
        <f t="shared" si="2"/>
        <v>0.21585903083700442</v>
      </c>
    </row>
    <row r="5" spans="1:7" ht="16" customHeight="1" x14ac:dyDescent="0.4">
      <c r="A5" s="6" t="s">
        <v>9</v>
      </c>
      <c r="B5" s="7">
        <v>82</v>
      </c>
      <c r="C5" s="9">
        <f t="shared" si="0"/>
        <v>0.28178694158075601</v>
      </c>
      <c r="D5" s="7">
        <v>87</v>
      </c>
      <c r="E5" s="9">
        <f t="shared" si="1"/>
        <v>0.29896907216494845</v>
      </c>
      <c r="F5" s="7">
        <v>122</v>
      </c>
      <c r="G5" s="9">
        <f t="shared" si="2"/>
        <v>0.41924398625429554</v>
      </c>
    </row>
    <row r="6" spans="1:7" ht="16" customHeight="1" x14ac:dyDescent="0.4">
      <c r="A6" s="6" t="s">
        <v>10</v>
      </c>
      <c r="B6" s="7">
        <v>103</v>
      </c>
      <c r="C6" s="9">
        <f t="shared" si="0"/>
        <v>0.34563758389261745</v>
      </c>
      <c r="D6" s="7">
        <v>76</v>
      </c>
      <c r="E6" s="9">
        <f t="shared" si="1"/>
        <v>0.25503355704697989</v>
      </c>
      <c r="F6" s="7">
        <v>119</v>
      </c>
      <c r="G6" s="9">
        <f t="shared" si="2"/>
        <v>0.39932885906040266</v>
      </c>
    </row>
    <row r="7" spans="1:7" ht="16" customHeight="1" x14ac:dyDescent="0.4">
      <c r="A7" s="6" t="s">
        <v>11</v>
      </c>
      <c r="B7" s="7">
        <v>87</v>
      </c>
      <c r="C7" s="9">
        <f t="shared" si="0"/>
        <v>0.28712871287128711</v>
      </c>
      <c r="D7" s="7">
        <v>98</v>
      </c>
      <c r="E7" s="9">
        <f t="shared" si="1"/>
        <v>0.32343234323432341</v>
      </c>
      <c r="F7" s="7">
        <v>118</v>
      </c>
      <c r="G7" s="9">
        <f t="shared" si="2"/>
        <v>0.38943894389438943</v>
      </c>
    </row>
    <row r="8" spans="1:7" ht="16" customHeight="1" x14ac:dyDescent="0.4">
      <c r="A8" s="6" t="s">
        <v>12</v>
      </c>
      <c r="B8" s="7">
        <v>86</v>
      </c>
      <c r="C8" s="9">
        <f t="shared" si="0"/>
        <v>0.28013029315960913</v>
      </c>
      <c r="D8" s="7">
        <v>84</v>
      </c>
      <c r="E8" s="9">
        <f t="shared" si="1"/>
        <v>0.2736156351791531</v>
      </c>
      <c r="F8" s="7">
        <v>137</v>
      </c>
      <c r="G8" s="9">
        <f t="shared" si="2"/>
        <v>0.44625407166123776</v>
      </c>
    </row>
    <row r="9" spans="1:7" ht="16" customHeight="1" x14ac:dyDescent="0.4">
      <c r="A9" s="6" t="s">
        <v>13</v>
      </c>
      <c r="B9" s="7">
        <v>86</v>
      </c>
      <c r="C9" s="9">
        <f t="shared" si="0"/>
        <v>0.29965156794425085</v>
      </c>
      <c r="D9" s="7">
        <v>84</v>
      </c>
      <c r="E9" s="9">
        <f t="shared" si="1"/>
        <v>0.29268292682926828</v>
      </c>
      <c r="F9" s="7">
        <v>117</v>
      </c>
      <c r="G9" s="9">
        <f t="shared" si="2"/>
        <v>0.40766550522648082</v>
      </c>
    </row>
    <row r="10" spans="1:7" ht="16" customHeight="1" x14ac:dyDescent="0.4">
      <c r="A10" s="6" t="s">
        <v>14</v>
      </c>
      <c r="B10" s="7">
        <v>82</v>
      </c>
      <c r="C10" s="9">
        <f t="shared" si="0"/>
        <v>0.27424749163879597</v>
      </c>
      <c r="D10" s="7">
        <v>104</v>
      </c>
      <c r="E10" s="9">
        <f t="shared" si="1"/>
        <v>0.34782608695652173</v>
      </c>
      <c r="F10" s="7">
        <v>113</v>
      </c>
      <c r="G10" s="9">
        <f t="shared" si="2"/>
        <v>0.3779264214046823</v>
      </c>
    </row>
    <row r="11" spans="1:7" ht="16" customHeight="1" x14ac:dyDescent="0.4">
      <c r="A11" s="6" t="s">
        <v>15</v>
      </c>
      <c r="B11" s="7">
        <v>84</v>
      </c>
      <c r="C11" s="9">
        <f t="shared" si="0"/>
        <v>0.27814569536423839</v>
      </c>
      <c r="D11" s="7">
        <v>82</v>
      </c>
      <c r="E11" s="9">
        <f t="shared" si="1"/>
        <v>0.27152317880794702</v>
      </c>
      <c r="F11" s="7">
        <v>136</v>
      </c>
      <c r="G11" s="9">
        <f t="shared" si="2"/>
        <v>0.45033112582781459</v>
      </c>
    </row>
    <row r="12" spans="1:7" ht="16" customHeight="1" x14ac:dyDescent="0.4">
      <c r="A12" s="6" t="s">
        <v>16</v>
      </c>
      <c r="B12" s="7">
        <v>91</v>
      </c>
      <c r="C12" s="9">
        <f t="shared" si="0"/>
        <v>0.27002967359050445</v>
      </c>
      <c r="D12" s="7">
        <v>114</v>
      </c>
      <c r="E12" s="9">
        <f t="shared" si="1"/>
        <v>0.33827893175074186</v>
      </c>
      <c r="F12" s="7">
        <v>132</v>
      </c>
      <c r="G12" s="9">
        <f t="shared" si="2"/>
        <v>0.39169139465875369</v>
      </c>
    </row>
    <row r="13" spans="1:7" ht="16" customHeight="1" x14ac:dyDescent="0.4">
      <c r="A13" s="6" t="s">
        <v>17</v>
      </c>
      <c r="B13" s="7">
        <v>101</v>
      </c>
      <c r="C13" s="9">
        <f t="shared" si="0"/>
        <v>0.27900552486187846</v>
      </c>
      <c r="D13" s="7">
        <v>123</v>
      </c>
      <c r="E13" s="9">
        <f t="shared" si="1"/>
        <v>0.3397790055248619</v>
      </c>
      <c r="F13" s="7">
        <v>138</v>
      </c>
      <c r="G13" s="9">
        <f t="shared" si="2"/>
        <v>0.38121546961325969</v>
      </c>
    </row>
    <row r="14" spans="1:7" ht="16" customHeight="1" x14ac:dyDescent="0.4">
      <c r="A14" s="6" t="s">
        <v>18</v>
      </c>
      <c r="B14" s="7">
        <v>98</v>
      </c>
      <c r="C14" s="9">
        <f t="shared" si="0"/>
        <v>0.27071823204419887</v>
      </c>
      <c r="D14" s="7">
        <v>125</v>
      </c>
      <c r="E14" s="9">
        <f t="shared" si="1"/>
        <v>0.34530386740331492</v>
      </c>
      <c r="F14" s="7">
        <v>139</v>
      </c>
      <c r="G14" s="9">
        <f t="shared" si="2"/>
        <v>0.38397790055248621</v>
      </c>
    </row>
    <row r="15" spans="1:7" ht="16" customHeight="1" x14ac:dyDescent="0.4">
      <c r="A15" s="6" t="s">
        <v>19</v>
      </c>
      <c r="B15" s="7">
        <v>98</v>
      </c>
      <c r="C15" s="9">
        <f t="shared" si="0"/>
        <v>0.33910034602076122</v>
      </c>
      <c r="D15" s="7">
        <v>114</v>
      </c>
      <c r="E15" s="9">
        <f t="shared" si="1"/>
        <v>0.3944636678200692</v>
      </c>
      <c r="F15" s="7">
        <v>77</v>
      </c>
      <c r="G15" s="9">
        <f t="shared" si="2"/>
        <v>0.26643598615916952</v>
      </c>
    </row>
    <row r="16" spans="1:7" ht="16" customHeight="1" x14ac:dyDescent="0.4">
      <c r="A16" s="6" t="s">
        <v>20</v>
      </c>
      <c r="B16" s="7">
        <v>136</v>
      </c>
      <c r="C16" s="9">
        <f t="shared" si="0"/>
        <v>0.38968481375358166</v>
      </c>
      <c r="D16" s="7">
        <v>145</v>
      </c>
      <c r="E16" s="9">
        <f t="shared" si="1"/>
        <v>0.41547277936962751</v>
      </c>
      <c r="F16" s="7">
        <v>68</v>
      </c>
      <c r="G16" s="9">
        <f t="shared" si="2"/>
        <v>0.19484240687679083</v>
      </c>
    </row>
    <row r="17" spans="1:7" ht="16" customHeight="1" x14ac:dyDescent="0.4">
      <c r="A17" s="6" t="s">
        <v>21</v>
      </c>
      <c r="B17" s="7">
        <v>117</v>
      </c>
      <c r="C17" s="9">
        <f t="shared" si="0"/>
        <v>0.31621621621621621</v>
      </c>
      <c r="D17" s="7">
        <v>128</v>
      </c>
      <c r="E17" s="9">
        <f t="shared" si="1"/>
        <v>0.34594594594594597</v>
      </c>
      <c r="F17" s="7">
        <v>125</v>
      </c>
      <c r="G17" s="9">
        <f t="shared" si="2"/>
        <v>0.33783783783783783</v>
      </c>
    </row>
    <row r="18" spans="1:7" ht="16" customHeight="1" x14ac:dyDescent="0.4">
      <c r="A18" s="6" t="s">
        <v>22</v>
      </c>
      <c r="B18" s="7">
        <v>122</v>
      </c>
      <c r="C18" s="9">
        <f t="shared" si="0"/>
        <v>0.30576441102756891</v>
      </c>
      <c r="D18" s="7">
        <v>144</v>
      </c>
      <c r="E18" s="9">
        <f t="shared" si="1"/>
        <v>0.36090225563909772</v>
      </c>
      <c r="F18" s="7">
        <v>133</v>
      </c>
      <c r="G18" s="9">
        <f t="shared" si="2"/>
        <v>0.33333333333333331</v>
      </c>
    </row>
    <row r="19" spans="1:7" ht="16" customHeight="1" x14ac:dyDescent="0.4">
      <c r="A19" s="6" t="s">
        <v>23</v>
      </c>
      <c r="B19" s="7">
        <v>108</v>
      </c>
      <c r="C19" s="9">
        <f t="shared" si="0"/>
        <v>0.3323076923076923</v>
      </c>
      <c r="D19" s="7">
        <v>110</v>
      </c>
      <c r="E19" s="9">
        <f t="shared" si="1"/>
        <v>0.33846153846153848</v>
      </c>
      <c r="F19" s="7">
        <v>107</v>
      </c>
      <c r="G19" s="9">
        <f t="shared" si="2"/>
        <v>0.32923076923076922</v>
      </c>
    </row>
    <row r="20" spans="1:7" ht="16" customHeight="1" x14ac:dyDescent="0.4">
      <c r="A20" s="6" t="s">
        <v>24</v>
      </c>
      <c r="B20" s="7">
        <v>98</v>
      </c>
      <c r="C20" s="9">
        <f t="shared" si="0"/>
        <v>0.29696969696969699</v>
      </c>
      <c r="D20" s="7">
        <v>114</v>
      </c>
      <c r="E20" s="9">
        <f t="shared" si="1"/>
        <v>0.34545454545454546</v>
      </c>
      <c r="F20" s="7">
        <v>118</v>
      </c>
      <c r="G20" s="9">
        <f t="shared" si="2"/>
        <v>0.3575757575757576</v>
      </c>
    </row>
    <row r="21" spans="1:7" ht="16" customHeight="1" x14ac:dyDescent="0.4">
      <c r="A21" s="6" t="s">
        <v>25</v>
      </c>
      <c r="B21" s="7">
        <v>98</v>
      </c>
      <c r="C21" s="9">
        <f t="shared" si="0"/>
        <v>0.310126582278481</v>
      </c>
      <c r="D21" s="7">
        <v>117</v>
      </c>
      <c r="E21" s="9">
        <f t="shared" si="1"/>
        <v>0.370253164556962</v>
      </c>
      <c r="F21" s="7">
        <v>101</v>
      </c>
      <c r="G21" s="9">
        <f t="shared" si="2"/>
        <v>0.31962025316455694</v>
      </c>
    </row>
    <row r="22" spans="1:7" ht="16" customHeight="1" x14ac:dyDescent="0.4">
      <c r="A22" s="6" t="s">
        <v>26</v>
      </c>
      <c r="B22" s="7">
        <v>103</v>
      </c>
      <c r="C22" s="9">
        <f t="shared" si="0"/>
        <v>0.36785714285714288</v>
      </c>
      <c r="D22" s="7">
        <v>121</v>
      </c>
      <c r="E22" s="9">
        <f t="shared" si="1"/>
        <v>0.43214285714285716</v>
      </c>
      <c r="F22" s="7">
        <v>56</v>
      </c>
      <c r="G22" s="9">
        <f t="shared" si="2"/>
        <v>0.2</v>
      </c>
    </row>
    <row r="23" spans="1:7" ht="16" customHeight="1" x14ac:dyDescent="0.4">
      <c r="A23" s="6" t="s">
        <v>27</v>
      </c>
      <c r="B23" s="7">
        <v>121</v>
      </c>
      <c r="C23" s="9">
        <f t="shared" si="0"/>
        <v>0.35276967930029157</v>
      </c>
      <c r="D23" s="7">
        <v>111</v>
      </c>
      <c r="E23" s="9">
        <f t="shared" si="1"/>
        <v>0.32361516034985421</v>
      </c>
      <c r="F23" s="7">
        <v>111</v>
      </c>
      <c r="G23" s="9">
        <f t="shared" si="2"/>
        <v>0.32361516034985421</v>
      </c>
    </row>
    <row r="24" spans="1:7" ht="16" customHeight="1" x14ac:dyDescent="0.4">
      <c r="A24" s="6" t="s">
        <v>28</v>
      </c>
      <c r="B24" s="7">
        <v>133</v>
      </c>
      <c r="C24" s="9">
        <f t="shared" si="0"/>
        <v>0.39233038348082594</v>
      </c>
      <c r="D24" s="7">
        <v>106</v>
      </c>
      <c r="E24" s="9">
        <f t="shared" si="1"/>
        <v>0.31268436578171094</v>
      </c>
      <c r="F24" s="7">
        <v>100</v>
      </c>
      <c r="G24" s="9">
        <f t="shared" si="2"/>
        <v>0.29498525073746312</v>
      </c>
    </row>
    <row r="25" spans="1:7" ht="16" customHeight="1" x14ac:dyDescent="0.4">
      <c r="A25" s="6" t="s">
        <v>29</v>
      </c>
      <c r="B25" s="7">
        <v>150</v>
      </c>
      <c r="C25" s="9">
        <f t="shared" si="0"/>
        <v>0.36144578313253012</v>
      </c>
      <c r="D25" s="7">
        <v>148</v>
      </c>
      <c r="E25" s="9">
        <f t="shared" si="1"/>
        <v>0.3566265060240964</v>
      </c>
      <c r="F25" s="7">
        <v>117</v>
      </c>
      <c r="G25" s="9">
        <f t="shared" si="2"/>
        <v>0.28192771084337348</v>
      </c>
    </row>
    <row r="26" spans="1:7" ht="16" customHeight="1" x14ac:dyDescent="0.4">
      <c r="A26" s="6" t="s">
        <v>30</v>
      </c>
      <c r="B26" s="7">
        <v>140</v>
      </c>
      <c r="C26" s="9">
        <f t="shared" si="0"/>
        <v>0.32558139534883723</v>
      </c>
      <c r="D26" s="7">
        <v>167</v>
      </c>
      <c r="E26" s="9">
        <f t="shared" si="1"/>
        <v>0.38837209302325582</v>
      </c>
      <c r="F26" s="7">
        <v>123</v>
      </c>
      <c r="G26" s="9">
        <f t="shared" si="2"/>
        <v>0.28604651162790695</v>
      </c>
    </row>
  </sheetData>
  <mergeCells count="3">
    <mergeCell ref="B1:C1"/>
    <mergeCell ref="D1:E1"/>
    <mergeCell ref="F1:G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113年6月至115年6月臺東縣市區客運乘客各搭乘次數區間月人</vt:lpstr>
      <vt:lpstr>平均每日使用次數</vt:lpstr>
      <vt:lpstr>TPASS乘客分組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李姿儀</dc:creator>
  <cp:lastModifiedBy>姿儀 李</cp:lastModifiedBy>
  <dcterms:created xsi:type="dcterms:W3CDTF">2026-08-28T13:55:31Z</dcterms:created>
  <dcterms:modified xsi:type="dcterms:W3CDTF">2026-08-28T13:55:31Z</dcterms:modified>
</cp:coreProperties>
</file>