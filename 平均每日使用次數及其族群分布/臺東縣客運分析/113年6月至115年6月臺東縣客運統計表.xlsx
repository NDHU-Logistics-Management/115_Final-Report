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b9bc5ab95e55f5/桌面/臺東縣客運分析/"/>
    </mc:Choice>
  </mc:AlternateContent>
  <xr:revisionPtr revIDLastSave="0" documentId="8_{75B47CA9-2CEF-41DE-B43A-4D8DEA7D9937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市區平均每日" sheetId="1" r:id="rId1"/>
    <sheet name="市區搭乘區間" sheetId="2" r:id="rId2"/>
    <sheet name="市區TPASS搭乘區間" sheetId="3" r:id="rId3"/>
    <sheet name="公路平均每日" sheetId="4" r:id="rId4"/>
    <sheet name="公路搭乘區間" sheetId="5" r:id="rId5"/>
    <sheet name="公路TPASS搭乘區間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B26" i="1"/>
  <c r="B13" i="1"/>
  <c r="C13" i="1" s="1"/>
  <c r="C12" i="1"/>
  <c r="C14" i="1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8" i="6"/>
  <c r="E8" i="6"/>
  <c r="C8" i="6"/>
  <c r="G7" i="6"/>
  <c r="E7" i="6"/>
  <c r="C7" i="6"/>
  <c r="G6" i="6"/>
  <c r="E6" i="6"/>
  <c r="C6" i="6"/>
  <c r="G5" i="6"/>
  <c r="E5" i="6"/>
  <c r="C5" i="6"/>
  <c r="G4" i="6"/>
  <c r="E4" i="6"/>
  <c r="C4" i="6"/>
  <c r="G3" i="6"/>
  <c r="E3" i="6"/>
  <c r="C3" i="6"/>
  <c r="G2" i="6"/>
  <c r="E2" i="6"/>
  <c r="C2" i="6"/>
  <c r="G26" i="5"/>
  <c r="E26" i="5"/>
  <c r="C26" i="5"/>
  <c r="G25" i="5"/>
  <c r="E25" i="5"/>
  <c r="C25" i="5"/>
  <c r="G24" i="5"/>
  <c r="E24" i="5"/>
  <c r="C24" i="5"/>
  <c r="G23" i="5"/>
  <c r="E23" i="5"/>
  <c r="C23" i="5"/>
  <c r="G22" i="5"/>
  <c r="E22" i="5"/>
  <c r="C22" i="5"/>
  <c r="G21" i="5"/>
  <c r="E21" i="5"/>
  <c r="C21" i="5"/>
  <c r="G20" i="5"/>
  <c r="E20" i="5"/>
  <c r="C20" i="5"/>
  <c r="G19" i="5"/>
  <c r="E19" i="5"/>
  <c r="C19" i="5"/>
  <c r="G18" i="5"/>
  <c r="E18" i="5"/>
  <c r="C18" i="5"/>
  <c r="G17" i="5"/>
  <c r="E17" i="5"/>
  <c r="C17" i="5"/>
  <c r="G16" i="5"/>
  <c r="E16" i="5"/>
  <c r="C16" i="5"/>
  <c r="G15" i="5"/>
  <c r="E15" i="5"/>
  <c r="C15" i="5"/>
  <c r="G14" i="5"/>
  <c r="E14" i="5"/>
  <c r="C14" i="5"/>
  <c r="G13" i="5"/>
  <c r="E13" i="5"/>
  <c r="C13" i="5"/>
  <c r="G12" i="5"/>
  <c r="E12" i="5"/>
  <c r="C12" i="5"/>
  <c r="G11" i="5"/>
  <c r="E11" i="5"/>
  <c r="C11" i="5"/>
  <c r="G10" i="5"/>
  <c r="E10" i="5"/>
  <c r="C10" i="5"/>
  <c r="G9" i="5"/>
  <c r="E9" i="5"/>
  <c r="C9" i="5"/>
  <c r="G8" i="5"/>
  <c r="E8" i="5"/>
  <c r="C8" i="5"/>
  <c r="G7" i="5"/>
  <c r="E7" i="5"/>
  <c r="C7" i="5"/>
  <c r="G6" i="5"/>
  <c r="E6" i="5"/>
  <c r="C6" i="5"/>
  <c r="G5" i="5"/>
  <c r="E5" i="5"/>
  <c r="C5" i="5"/>
  <c r="G4" i="5"/>
  <c r="E4" i="5"/>
  <c r="C4" i="5"/>
  <c r="G3" i="5"/>
  <c r="E3" i="5"/>
  <c r="C3" i="5"/>
  <c r="G2" i="5"/>
  <c r="E2" i="5"/>
  <c r="C2" i="5"/>
  <c r="B26" i="4"/>
  <c r="C26" i="4" s="1"/>
  <c r="B25" i="4"/>
  <c r="C25" i="4" s="1"/>
  <c r="B24" i="4"/>
  <c r="C24" i="4" s="1"/>
  <c r="B23" i="4"/>
  <c r="C23" i="4" s="1"/>
  <c r="B22" i="4"/>
  <c r="C22" i="4" s="1"/>
  <c r="B21" i="4"/>
  <c r="C21" i="4" s="1"/>
  <c r="B20" i="4"/>
  <c r="C20" i="4" s="1"/>
  <c r="B19" i="4"/>
  <c r="C19" i="4" s="1"/>
  <c r="B18" i="4"/>
  <c r="C18" i="4" s="1"/>
  <c r="B17" i="4"/>
  <c r="C17" i="4" s="1"/>
  <c r="B16" i="4"/>
  <c r="C16" i="4" s="1"/>
  <c r="B15" i="4"/>
  <c r="C15" i="4" s="1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B5" i="4"/>
  <c r="C5" i="4" s="1"/>
  <c r="B4" i="4"/>
  <c r="C4" i="4" s="1"/>
  <c r="B3" i="4"/>
  <c r="C3" i="4" s="1"/>
  <c r="B2" i="4"/>
  <c r="C2" i="4" s="1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E3" i="3"/>
  <c r="C3" i="3"/>
  <c r="G2" i="3"/>
  <c r="E2" i="3"/>
  <c r="C2" i="3"/>
  <c r="G26" i="2"/>
  <c r="E26" i="2"/>
  <c r="C26" i="2"/>
  <c r="G25" i="2"/>
  <c r="E25" i="2"/>
  <c r="C25" i="2"/>
  <c r="G24" i="2"/>
  <c r="E24" i="2"/>
  <c r="C24" i="2"/>
  <c r="G23" i="2"/>
  <c r="E23" i="2"/>
  <c r="C23" i="2"/>
  <c r="G22" i="2"/>
  <c r="E22" i="2"/>
  <c r="C22" i="2"/>
  <c r="G21" i="2"/>
  <c r="E21" i="2"/>
  <c r="C21" i="2"/>
  <c r="G20" i="2"/>
  <c r="E20" i="2"/>
  <c r="C20" i="2"/>
  <c r="G19" i="2"/>
  <c r="E19" i="2"/>
  <c r="C19" i="2"/>
  <c r="G18" i="2"/>
  <c r="E18" i="2"/>
  <c r="C18" i="2"/>
  <c r="G17" i="2"/>
  <c r="E17" i="2"/>
  <c r="C17" i="2"/>
  <c r="G16" i="2"/>
  <c r="E16" i="2"/>
  <c r="C16" i="2"/>
  <c r="G15" i="2"/>
  <c r="E15" i="2"/>
  <c r="C15" i="2"/>
  <c r="G14" i="2"/>
  <c r="E14" i="2"/>
  <c r="C14" i="2"/>
  <c r="G13" i="2"/>
  <c r="E13" i="2"/>
  <c r="C13" i="2"/>
  <c r="G12" i="2"/>
  <c r="E12" i="2"/>
  <c r="C12" i="2"/>
  <c r="G11" i="2"/>
  <c r="E11" i="2"/>
  <c r="C11" i="2"/>
  <c r="G10" i="2"/>
  <c r="E10" i="2"/>
  <c r="C10" i="2"/>
  <c r="G9" i="2"/>
  <c r="E9" i="2"/>
  <c r="C9" i="2"/>
  <c r="G8" i="2"/>
  <c r="E8" i="2"/>
  <c r="C8" i="2"/>
  <c r="G7" i="2"/>
  <c r="E7" i="2"/>
  <c r="C7" i="2"/>
  <c r="G6" i="2"/>
  <c r="E6" i="2"/>
  <c r="C6" i="2"/>
  <c r="G5" i="2"/>
  <c r="E5" i="2"/>
  <c r="C5" i="2"/>
  <c r="G4" i="2"/>
  <c r="E4" i="2"/>
  <c r="C4" i="2"/>
  <c r="G3" i="2"/>
  <c r="E3" i="2"/>
  <c r="C3" i="2"/>
  <c r="G2" i="2"/>
  <c r="E2" i="2"/>
  <c r="C2" i="2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B12" i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  <c r="B2" i="1"/>
  <c r="C2" i="1" s="1"/>
</calcChain>
</file>

<file path=xl/sharedStrings.xml><?xml version="1.0" encoding="utf-8"?>
<sst xmlns="http://schemas.openxmlformats.org/spreadsheetml/2006/main" count="178" uniqueCount="61">
  <si>
    <t>年／月</t>
  </si>
  <si>
    <t>每人每月使用次數</t>
  </si>
  <si>
    <t>平均每日使用次數</t>
  </si>
  <si>
    <t>該月總使用次數</t>
  </si>
  <si>
    <t>該月使用人數</t>
  </si>
  <si>
    <t>該月天數</t>
  </si>
  <si>
    <t>僅一次</t>
  </si>
  <si>
    <t>二至四次</t>
  </si>
  <si>
    <t>五次以上</t>
  </si>
  <si>
    <t>113/06</t>
  </si>
  <si>
    <t>113/07</t>
  </si>
  <si>
    <t>113/08</t>
  </si>
  <si>
    <t>113/09</t>
  </si>
  <si>
    <t>113/10</t>
  </si>
  <si>
    <t>113/11</t>
  </si>
  <si>
    <t>113/12</t>
  </si>
  <si>
    <t>114/01</t>
  </si>
  <si>
    <t>114/02</t>
  </si>
  <si>
    <t>114/03</t>
  </si>
  <si>
    <t>114/04</t>
  </si>
  <si>
    <t>114/05</t>
  </si>
  <si>
    <t>114/06</t>
  </si>
  <si>
    <t>114/07</t>
  </si>
  <si>
    <t>114/08</t>
  </si>
  <si>
    <t>114/09</t>
  </si>
  <si>
    <t>114/10</t>
  </si>
  <si>
    <t>114/11</t>
  </si>
  <si>
    <t>114/12</t>
  </si>
  <si>
    <t>115/01</t>
  </si>
  <si>
    <t>115/02</t>
  </si>
  <si>
    <t>115/03</t>
  </si>
  <si>
    <t>115/04</t>
  </si>
  <si>
    <t>115/05</t>
  </si>
  <si>
    <t>115/06</t>
  </si>
  <si>
    <t>113 年 6 月</t>
  </si>
  <si>
    <t>113 年 7 月</t>
  </si>
  <si>
    <t>113 年 8 月</t>
  </si>
  <si>
    <t>113 年 9 月</t>
  </si>
  <si>
    <t>113 年 10 月</t>
  </si>
  <si>
    <t>113 年 11 月</t>
  </si>
  <si>
    <t>113 年 12 月</t>
  </si>
  <si>
    <t>114 年 1 月</t>
  </si>
  <si>
    <t>114 年 2 月</t>
  </si>
  <si>
    <t>114 年 3 月</t>
  </si>
  <si>
    <t>114 年 4 月</t>
  </si>
  <si>
    <t>114 年 5 月</t>
  </si>
  <si>
    <t>114 年 6 月</t>
  </si>
  <si>
    <t>114 年 7 月</t>
  </si>
  <si>
    <t>114 年 8 月</t>
  </si>
  <si>
    <t>114 年 9 月</t>
  </si>
  <si>
    <t>114 年 10 月</t>
  </si>
  <si>
    <t>114 年 11 月</t>
  </si>
  <si>
    <t>114 年 12 月</t>
  </si>
  <si>
    <t>115 年 1 月</t>
  </si>
  <si>
    <t>115 年 2 月</t>
  </si>
  <si>
    <t>115 年 3 月</t>
  </si>
  <si>
    <t>115 年 4 月</t>
  </si>
  <si>
    <t>115 年 5 月</t>
  </si>
  <si>
    <t>115 年 6 月</t>
  </si>
  <si>
    <t xml:space="preserve">          搭乘次數   月份</t>
    <phoneticPr fontId="3" type="noConversion"/>
  </si>
  <si>
    <t xml:space="preserve">          搭乘次數
月份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</si>
</sst>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##"/>
    <numFmt numFmtId="178" formatCode="0.###"/>
  </numFmts>
  <fonts count="4">
    <font>
      <sz val="11"/>
      <name val="Carlito"/>
    </font>
    <font>
      <sz val="12"/>
      <color rgb="FF000000"/>
      <name val="標楷體"/>
      <family val="4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right" vertical="center"/>
    </xf>
    <xf numFmtId="177" fontId="1" fillId="2" borderId="1" xfId="0" applyNumberFormat="1" applyFont="1" applyFill="1" applyBorder="1" applyAlignment="1">
      <alignment horizontal="right" vertical="center"/>
    </xf>
    <xf numFmtId="178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4" workbookViewId="0">
      <selection activeCell="E20" sqref="E20"/>
    </sheetView>
  </sheetViews>
  <sheetFormatPr defaultRowHeight="14"/>
  <cols>
    <col min="1" max="1" width="16" customWidth="1"/>
    <col min="2" max="6" width="22.5" customWidth="1"/>
  </cols>
  <sheetData>
    <row r="1" spans="1:6" ht="17.39999999999999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2" customHeight="1">
      <c r="A2" s="4" t="s">
        <v>9</v>
      </c>
      <c r="B2" s="7">
        <f t="shared" ref="B2:B26" si="0">ROUND(IF(E2&gt;0,D2/E2,0),2)</f>
        <v>1.89</v>
      </c>
      <c r="C2" s="8">
        <f t="shared" ref="C2:C26" si="1">ROUND(IF(F2&gt;0,B2/F2,0),3)</f>
        <v>6.3E-2</v>
      </c>
      <c r="D2" s="2">
        <v>12307</v>
      </c>
      <c r="E2" s="2">
        <v>6509</v>
      </c>
      <c r="F2" s="3">
        <v>30</v>
      </c>
    </row>
    <row r="3" spans="1:6" ht="12" customHeight="1">
      <c r="A3" s="4" t="s">
        <v>10</v>
      </c>
      <c r="B3" s="7">
        <f t="shared" si="0"/>
        <v>1.79</v>
      </c>
      <c r="C3" s="8">
        <f t="shared" si="1"/>
        <v>5.8000000000000003E-2</v>
      </c>
      <c r="D3" s="2">
        <v>11517</v>
      </c>
      <c r="E3" s="2">
        <v>6452</v>
      </c>
      <c r="F3" s="3">
        <v>31</v>
      </c>
    </row>
    <row r="4" spans="1:6" ht="12" customHeight="1">
      <c r="A4" s="4" t="s">
        <v>11</v>
      </c>
      <c r="B4" s="7">
        <f t="shared" si="0"/>
        <v>1.77</v>
      </c>
      <c r="C4" s="8">
        <f t="shared" si="1"/>
        <v>5.7000000000000002E-2</v>
      </c>
      <c r="D4" s="2">
        <v>14744</v>
      </c>
      <c r="E4" s="2">
        <v>8347</v>
      </c>
      <c r="F4" s="3">
        <v>31</v>
      </c>
    </row>
    <row r="5" spans="1:6" ht="12" customHeight="1">
      <c r="A5" s="4" t="s">
        <v>12</v>
      </c>
      <c r="B5" s="7">
        <f t="shared" si="0"/>
        <v>2.0499999999999998</v>
      </c>
      <c r="C5" s="8">
        <f t="shared" si="1"/>
        <v>6.8000000000000005E-2</v>
      </c>
      <c r="D5" s="2">
        <v>14431</v>
      </c>
      <c r="E5" s="2">
        <v>7053</v>
      </c>
      <c r="F5" s="3">
        <v>30</v>
      </c>
    </row>
    <row r="6" spans="1:6" ht="12" customHeight="1">
      <c r="A6" s="4" t="s">
        <v>13</v>
      </c>
      <c r="B6" s="7">
        <f t="shared" si="0"/>
        <v>2.0499999999999998</v>
      </c>
      <c r="C6" s="8">
        <f t="shared" si="1"/>
        <v>6.6000000000000003E-2</v>
      </c>
      <c r="D6" s="2">
        <v>13452</v>
      </c>
      <c r="E6" s="2">
        <v>6570</v>
      </c>
      <c r="F6" s="3">
        <v>31</v>
      </c>
    </row>
    <row r="7" spans="1:6" ht="12" customHeight="1">
      <c r="A7" s="4" t="s">
        <v>14</v>
      </c>
      <c r="B7" s="7">
        <f t="shared" si="0"/>
        <v>2.13</v>
      </c>
      <c r="C7" s="8">
        <f t="shared" si="1"/>
        <v>7.0999999999999994E-2</v>
      </c>
      <c r="D7" s="2">
        <v>16156</v>
      </c>
      <c r="E7" s="2">
        <v>7598</v>
      </c>
      <c r="F7" s="3">
        <v>30</v>
      </c>
    </row>
    <row r="8" spans="1:6" ht="12" customHeight="1">
      <c r="A8" s="4" t="s">
        <v>15</v>
      </c>
      <c r="B8" s="7">
        <f t="shared" si="0"/>
        <v>2.29</v>
      </c>
      <c r="C8" s="8">
        <f t="shared" si="1"/>
        <v>7.3999999999999996E-2</v>
      </c>
      <c r="D8" s="2">
        <v>13756</v>
      </c>
      <c r="E8" s="2">
        <v>6019</v>
      </c>
      <c r="F8" s="3">
        <v>31</v>
      </c>
    </row>
    <row r="9" spans="1:6" ht="12" customHeight="1">
      <c r="A9" s="4" t="s">
        <v>16</v>
      </c>
      <c r="B9" s="7">
        <f t="shared" si="0"/>
        <v>2.0699999999999998</v>
      </c>
      <c r="C9" s="8">
        <f t="shared" si="1"/>
        <v>6.7000000000000004E-2</v>
      </c>
      <c r="D9" s="2">
        <v>10935</v>
      </c>
      <c r="E9" s="2">
        <v>5295</v>
      </c>
      <c r="F9" s="3">
        <v>31</v>
      </c>
    </row>
    <row r="10" spans="1:6" ht="12" customHeight="1">
      <c r="A10" s="4" t="s">
        <v>17</v>
      </c>
      <c r="B10" s="7">
        <f t="shared" si="0"/>
        <v>2.1</v>
      </c>
      <c r="C10" s="8">
        <f t="shared" si="1"/>
        <v>7.4999999999999997E-2</v>
      </c>
      <c r="D10" s="2">
        <v>10139</v>
      </c>
      <c r="E10" s="2">
        <v>4819</v>
      </c>
      <c r="F10" s="3">
        <v>28</v>
      </c>
    </row>
    <row r="11" spans="1:6" ht="12" customHeight="1">
      <c r="A11" s="4" t="s">
        <v>18</v>
      </c>
      <c r="B11" s="7">
        <f t="shared" si="0"/>
        <v>2.17</v>
      </c>
      <c r="C11" s="8">
        <f t="shared" si="1"/>
        <v>7.0000000000000007E-2</v>
      </c>
      <c r="D11" s="2">
        <v>12205</v>
      </c>
      <c r="E11" s="2">
        <v>5633</v>
      </c>
      <c r="F11" s="3">
        <v>31</v>
      </c>
    </row>
    <row r="12" spans="1:6" ht="12" customHeight="1">
      <c r="A12" s="4" t="s">
        <v>19</v>
      </c>
      <c r="B12" s="7">
        <f t="shared" si="0"/>
        <v>2.04</v>
      </c>
      <c r="C12" s="8">
        <f>ROUND(IF(F12&gt;0,B12/F12,0),3)</f>
        <v>6.8000000000000005E-2</v>
      </c>
      <c r="D12" s="2">
        <v>14381</v>
      </c>
      <c r="E12" s="2">
        <v>7040</v>
      </c>
      <c r="F12" s="3">
        <v>30</v>
      </c>
    </row>
    <row r="13" spans="1:6" ht="12" customHeight="1">
      <c r="A13" s="4" t="s">
        <v>20</v>
      </c>
      <c r="B13" s="7">
        <f>ROUND(IF(E13&gt;0,D13/E13,0),2)</f>
        <v>2</v>
      </c>
      <c r="C13" s="8">
        <f t="shared" si="1"/>
        <v>6.5000000000000002E-2</v>
      </c>
      <c r="D13" s="2">
        <v>14840</v>
      </c>
      <c r="E13" s="2">
        <v>7427</v>
      </c>
      <c r="F13" s="3">
        <v>31</v>
      </c>
    </row>
    <row r="14" spans="1:6" ht="12" customHeight="1">
      <c r="A14" s="4" t="s">
        <v>21</v>
      </c>
      <c r="B14" s="7">
        <f t="shared" si="0"/>
        <v>2</v>
      </c>
      <c r="C14" s="8">
        <f>ROUND(IF(F14&gt;0,B14/F14,0),3)</f>
        <v>6.7000000000000004E-2</v>
      </c>
      <c r="D14" s="2">
        <v>15131</v>
      </c>
      <c r="E14" s="2">
        <v>7551</v>
      </c>
      <c r="F14" s="3">
        <v>30</v>
      </c>
    </row>
    <row r="15" spans="1:6" ht="12" customHeight="1">
      <c r="A15" s="4" t="s">
        <v>22</v>
      </c>
      <c r="B15" s="7">
        <f t="shared" si="0"/>
        <v>1.81</v>
      </c>
      <c r="C15" s="8">
        <f t="shared" si="1"/>
        <v>5.8000000000000003E-2</v>
      </c>
      <c r="D15" s="2">
        <v>12893</v>
      </c>
      <c r="E15" s="2">
        <v>7134</v>
      </c>
      <c r="F15" s="3">
        <v>31</v>
      </c>
    </row>
    <row r="16" spans="1:6" ht="12" customHeight="1">
      <c r="A16" s="4" t="s">
        <v>23</v>
      </c>
      <c r="B16" s="7">
        <f t="shared" si="0"/>
        <v>1.78</v>
      </c>
      <c r="C16" s="8">
        <f t="shared" si="1"/>
        <v>5.7000000000000002E-2</v>
      </c>
      <c r="D16" s="2">
        <v>14386</v>
      </c>
      <c r="E16" s="2">
        <v>8083</v>
      </c>
      <c r="F16" s="3">
        <v>31</v>
      </c>
    </row>
    <row r="17" spans="1:6" ht="12" customHeight="1">
      <c r="A17" s="4" t="s">
        <v>24</v>
      </c>
      <c r="B17" s="7">
        <f t="shared" si="0"/>
        <v>2.0099999999999998</v>
      </c>
      <c r="C17" s="8">
        <f t="shared" si="1"/>
        <v>6.7000000000000004E-2</v>
      </c>
      <c r="D17" s="2">
        <v>11829</v>
      </c>
      <c r="E17" s="2">
        <v>5875</v>
      </c>
      <c r="F17" s="3">
        <v>30</v>
      </c>
    </row>
    <row r="18" spans="1:6" ht="12" customHeight="1">
      <c r="A18" s="4" t="s">
        <v>25</v>
      </c>
      <c r="B18" s="7">
        <f t="shared" si="0"/>
        <v>2.06</v>
      </c>
      <c r="C18" s="8">
        <f t="shared" si="1"/>
        <v>6.6000000000000003E-2</v>
      </c>
      <c r="D18" s="2">
        <v>14427</v>
      </c>
      <c r="E18" s="2">
        <v>7003</v>
      </c>
      <c r="F18" s="3">
        <v>31</v>
      </c>
    </row>
    <row r="19" spans="1:6" ht="12" customHeight="1">
      <c r="A19" s="4" t="s">
        <v>26</v>
      </c>
      <c r="B19" s="7">
        <f t="shared" si="0"/>
        <v>2.04</v>
      </c>
      <c r="C19" s="8">
        <f t="shared" si="1"/>
        <v>6.8000000000000005E-2</v>
      </c>
      <c r="D19" s="2">
        <v>11433</v>
      </c>
      <c r="E19" s="2">
        <v>5591</v>
      </c>
      <c r="F19" s="3">
        <v>30</v>
      </c>
    </row>
    <row r="20" spans="1:6" ht="12" customHeight="1">
      <c r="A20" s="4" t="s">
        <v>27</v>
      </c>
      <c r="B20" s="7">
        <f t="shared" si="0"/>
        <v>2.0499999999999998</v>
      </c>
      <c r="C20" s="8">
        <f t="shared" si="1"/>
        <v>6.6000000000000003E-2</v>
      </c>
      <c r="D20" s="2">
        <v>13272</v>
      </c>
      <c r="E20" s="2">
        <v>6487</v>
      </c>
      <c r="F20" s="3">
        <v>31</v>
      </c>
    </row>
    <row r="21" spans="1:6" ht="12" customHeight="1">
      <c r="A21" s="4" t="s">
        <v>28</v>
      </c>
      <c r="B21" s="7">
        <f t="shared" si="0"/>
        <v>2.06</v>
      </c>
      <c r="C21" s="8">
        <f t="shared" si="1"/>
        <v>6.6000000000000003E-2</v>
      </c>
      <c r="D21" s="2">
        <v>11423</v>
      </c>
      <c r="E21" s="2">
        <v>5548</v>
      </c>
      <c r="F21" s="3">
        <v>31</v>
      </c>
    </row>
    <row r="22" spans="1:6" ht="12" customHeight="1">
      <c r="A22" s="4" t="s">
        <v>29</v>
      </c>
      <c r="B22" s="7">
        <f t="shared" si="0"/>
        <v>1.78</v>
      </c>
      <c r="C22" s="8">
        <f t="shared" si="1"/>
        <v>6.4000000000000001E-2</v>
      </c>
      <c r="D22" s="2">
        <v>10483</v>
      </c>
      <c r="E22" s="2">
        <v>5888</v>
      </c>
      <c r="F22" s="3">
        <v>28</v>
      </c>
    </row>
    <row r="23" spans="1:6" ht="12" customHeight="1">
      <c r="A23" s="4" t="s">
        <v>30</v>
      </c>
      <c r="B23" s="7">
        <f t="shared" si="0"/>
        <v>2.0499999999999998</v>
      </c>
      <c r="C23" s="8">
        <f t="shared" si="1"/>
        <v>6.6000000000000003E-2</v>
      </c>
      <c r="D23" s="2">
        <v>12073</v>
      </c>
      <c r="E23" s="2">
        <v>5880</v>
      </c>
      <c r="F23" s="3">
        <v>31</v>
      </c>
    </row>
    <row r="24" spans="1:6" ht="12" customHeight="1">
      <c r="A24" s="4" t="s">
        <v>31</v>
      </c>
      <c r="B24" s="7">
        <f t="shared" si="0"/>
        <v>1.84</v>
      </c>
      <c r="C24" s="8">
        <f t="shared" si="1"/>
        <v>6.0999999999999999E-2</v>
      </c>
      <c r="D24" s="2">
        <v>12648</v>
      </c>
      <c r="E24" s="2">
        <v>6882</v>
      </c>
      <c r="F24" s="3">
        <v>30</v>
      </c>
    </row>
    <row r="25" spans="1:6" ht="12" customHeight="1">
      <c r="A25" s="4" t="s">
        <v>32</v>
      </c>
      <c r="B25" s="7">
        <f t="shared" si="0"/>
        <v>1.94</v>
      </c>
      <c r="C25" s="8">
        <f t="shared" si="1"/>
        <v>6.3E-2</v>
      </c>
      <c r="D25" s="2">
        <v>16134</v>
      </c>
      <c r="E25" s="2">
        <v>8299</v>
      </c>
      <c r="F25" s="3">
        <v>31</v>
      </c>
    </row>
    <row r="26" spans="1:6" ht="12" customHeight="1">
      <c r="A26" s="4" t="s">
        <v>33</v>
      </c>
      <c r="B26" s="7">
        <f>ROUND(IF(E26&gt;0,D26/E26,0),2)</f>
        <v>1.93</v>
      </c>
      <c r="C26" s="8">
        <f>ROUND(IF(F26&gt;0,B26/F26,0),3)</f>
        <v>6.4000000000000001E-2</v>
      </c>
      <c r="D26" s="2">
        <v>13533</v>
      </c>
      <c r="E26" s="2">
        <v>7011</v>
      </c>
      <c r="F26" s="3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activeCell="I21" sqref="I21"/>
    </sheetView>
  </sheetViews>
  <sheetFormatPr defaultRowHeight="14"/>
  <cols>
    <col min="1" max="1" width="20" customWidth="1"/>
    <col min="2" max="7" width="11.5" customWidth="1"/>
  </cols>
  <sheetData>
    <row r="1" spans="1:7" ht="31" customHeight="1">
      <c r="A1" s="5" t="s">
        <v>59</v>
      </c>
      <c r="B1" s="9" t="s">
        <v>6</v>
      </c>
      <c r="C1" s="9"/>
      <c r="D1" s="9" t="s">
        <v>7</v>
      </c>
      <c r="E1" s="9"/>
      <c r="F1" s="9" t="s">
        <v>8</v>
      </c>
      <c r="G1" s="9"/>
    </row>
    <row r="2" spans="1:7" ht="12" customHeight="1">
      <c r="A2" s="1" t="s">
        <v>34</v>
      </c>
      <c r="B2" s="2">
        <v>3827</v>
      </c>
      <c r="C2" s="6">
        <f t="shared" ref="C2:C26" si="0">IF(SUM(B2,D2,F2)&gt;0,B2/SUM(B2,D2,F2),0)</f>
        <v>0.58795513903825469</v>
      </c>
      <c r="D2" s="2">
        <v>2422</v>
      </c>
      <c r="E2" s="6">
        <f t="shared" ref="E2:E26" si="1">IF(SUM(B2,D2,F2)&gt;0,D2/SUM(B2,D2,F2),0)</f>
        <v>0.37210016899677367</v>
      </c>
      <c r="F2" s="2">
        <v>260</v>
      </c>
      <c r="G2" s="6">
        <f t="shared" ref="G2:G26" si="2">IF(SUM(B2,D2,F2)&gt;0,F2/SUM(B2,D2,F2),0)</f>
        <v>3.9944691964971579E-2</v>
      </c>
    </row>
    <row r="3" spans="1:7" ht="12" customHeight="1">
      <c r="A3" s="1" t="s">
        <v>35</v>
      </c>
      <c r="B3" s="2">
        <v>3894</v>
      </c>
      <c r="C3" s="6">
        <f t="shared" si="0"/>
        <v>0.60353378797272161</v>
      </c>
      <c r="D3" s="2">
        <v>2355</v>
      </c>
      <c r="E3" s="6">
        <f t="shared" si="1"/>
        <v>0.36500309981401113</v>
      </c>
      <c r="F3" s="2">
        <v>203</v>
      </c>
      <c r="G3" s="6">
        <f t="shared" si="2"/>
        <v>3.1463112213267204E-2</v>
      </c>
    </row>
    <row r="4" spans="1:7" ht="12" customHeight="1">
      <c r="A4" s="1" t="s">
        <v>36</v>
      </c>
      <c r="B4" s="2">
        <v>5025</v>
      </c>
      <c r="C4" s="6">
        <f t="shared" si="0"/>
        <v>0.60201269917335565</v>
      </c>
      <c r="D4" s="2">
        <v>3036</v>
      </c>
      <c r="E4" s="6">
        <f t="shared" si="1"/>
        <v>0.36372349347070804</v>
      </c>
      <c r="F4" s="2">
        <v>286</v>
      </c>
      <c r="G4" s="6">
        <f t="shared" si="2"/>
        <v>3.4263807355936267E-2</v>
      </c>
    </row>
    <row r="5" spans="1:7" ht="12" customHeight="1">
      <c r="A5" s="1" t="s">
        <v>37</v>
      </c>
      <c r="B5" s="2">
        <v>3900</v>
      </c>
      <c r="C5" s="6">
        <f t="shared" si="0"/>
        <v>0.552956188855806</v>
      </c>
      <c r="D5" s="2">
        <v>2809</v>
      </c>
      <c r="E5" s="6">
        <f t="shared" si="1"/>
        <v>0.39827023961434849</v>
      </c>
      <c r="F5" s="2">
        <v>344</v>
      </c>
      <c r="G5" s="6">
        <f t="shared" si="2"/>
        <v>4.8773571529845454E-2</v>
      </c>
    </row>
    <row r="6" spans="1:7" ht="12" customHeight="1">
      <c r="A6" s="1" t="s">
        <v>38</v>
      </c>
      <c r="B6" s="2">
        <v>3631</v>
      </c>
      <c r="C6" s="6">
        <f t="shared" si="0"/>
        <v>0.55266362252663626</v>
      </c>
      <c r="D6" s="2">
        <v>2580</v>
      </c>
      <c r="E6" s="6">
        <f t="shared" si="1"/>
        <v>0.39269406392694062</v>
      </c>
      <c r="F6" s="2">
        <v>359</v>
      </c>
      <c r="G6" s="6">
        <f t="shared" si="2"/>
        <v>5.4642313546423134E-2</v>
      </c>
    </row>
    <row r="7" spans="1:7" ht="12" customHeight="1">
      <c r="A7" s="1" t="s">
        <v>39</v>
      </c>
      <c r="B7" s="2">
        <v>3888</v>
      </c>
      <c r="C7" s="6">
        <f t="shared" si="0"/>
        <v>0.51171360884443273</v>
      </c>
      <c r="D7" s="2">
        <v>3250</v>
      </c>
      <c r="E7" s="6">
        <f t="shared" si="1"/>
        <v>0.4277441431955778</v>
      </c>
      <c r="F7" s="2">
        <v>460</v>
      </c>
      <c r="G7" s="6">
        <f t="shared" si="2"/>
        <v>6.054224795998947E-2</v>
      </c>
    </row>
    <row r="8" spans="1:7" ht="12" customHeight="1">
      <c r="A8" s="1" t="s">
        <v>40</v>
      </c>
      <c r="B8" s="2">
        <v>3278</v>
      </c>
      <c r="C8" s="6">
        <f t="shared" si="0"/>
        <v>0.54460873899318829</v>
      </c>
      <c r="D8" s="2">
        <v>2358</v>
      </c>
      <c r="E8" s="6">
        <f t="shared" si="1"/>
        <v>0.39175942847649109</v>
      </c>
      <c r="F8" s="2">
        <v>383</v>
      </c>
      <c r="G8" s="6">
        <f t="shared" si="2"/>
        <v>6.3631832530320648E-2</v>
      </c>
    </row>
    <row r="9" spans="1:7" ht="12" customHeight="1">
      <c r="A9" s="1" t="s">
        <v>41</v>
      </c>
      <c r="B9" s="2">
        <v>3040</v>
      </c>
      <c r="C9" s="6">
        <f t="shared" si="0"/>
        <v>0.57412653446647777</v>
      </c>
      <c r="D9" s="2">
        <v>1955</v>
      </c>
      <c r="E9" s="6">
        <f t="shared" si="1"/>
        <v>0.36921624173748818</v>
      </c>
      <c r="F9" s="2">
        <v>300</v>
      </c>
      <c r="G9" s="6">
        <f t="shared" si="2"/>
        <v>5.6657223796033995E-2</v>
      </c>
    </row>
    <row r="10" spans="1:7" ht="12" customHeight="1">
      <c r="A10" s="1" t="s">
        <v>42</v>
      </c>
      <c r="B10" s="2">
        <v>2766</v>
      </c>
      <c r="C10" s="6">
        <f t="shared" si="0"/>
        <v>0.57397800373521479</v>
      </c>
      <c r="D10" s="2">
        <v>1741</v>
      </c>
      <c r="E10" s="6">
        <f t="shared" si="1"/>
        <v>0.36127827350072628</v>
      </c>
      <c r="F10" s="2">
        <v>312</v>
      </c>
      <c r="G10" s="6">
        <f t="shared" si="2"/>
        <v>6.4743722764058931E-2</v>
      </c>
    </row>
    <row r="11" spans="1:7" ht="12" customHeight="1">
      <c r="A11" s="1" t="s">
        <v>43</v>
      </c>
      <c r="B11" s="2">
        <v>3243</v>
      </c>
      <c r="C11" s="6">
        <f t="shared" si="0"/>
        <v>0.57571453932185335</v>
      </c>
      <c r="D11" s="2">
        <v>2070</v>
      </c>
      <c r="E11" s="6">
        <f t="shared" si="1"/>
        <v>0.36747736552458726</v>
      </c>
      <c r="F11" s="2">
        <v>320</v>
      </c>
      <c r="G11" s="6">
        <f t="shared" si="2"/>
        <v>5.6808095153559383E-2</v>
      </c>
    </row>
    <row r="12" spans="1:7" ht="12" customHeight="1">
      <c r="A12" s="1" t="s">
        <v>44</v>
      </c>
      <c r="B12" s="2">
        <v>3964</v>
      </c>
      <c r="C12" s="6">
        <f t="shared" si="0"/>
        <v>0.56306818181818186</v>
      </c>
      <c r="D12" s="2">
        <v>2757</v>
      </c>
      <c r="E12" s="6">
        <f t="shared" si="1"/>
        <v>0.39161931818181817</v>
      </c>
      <c r="F12" s="2">
        <v>319</v>
      </c>
      <c r="G12" s="6">
        <f t="shared" si="2"/>
        <v>4.5312499999999999E-2</v>
      </c>
    </row>
    <row r="13" spans="1:7" ht="12" customHeight="1">
      <c r="A13" s="1" t="s">
        <v>45</v>
      </c>
      <c r="B13" s="2">
        <v>4355</v>
      </c>
      <c r="C13" s="6">
        <f t="shared" si="0"/>
        <v>0.5863740406624478</v>
      </c>
      <c r="D13" s="2">
        <v>2752</v>
      </c>
      <c r="E13" s="6">
        <f t="shared" si="1"/>
        <v>0.37053992190655716</v>
      </c>
      <c r="F13" s="2">
        <v>320</v>
      </c>
      <c r="G13" s="6">
        <f t="shared" si="2"/>
        <v>4.3086037430995018E-2</v>
      </c>
    </row>
    <row r="14" spans="1:7" ht="12" customHeight="1">
      <c r="A14" s="1" t="s">
        <v>46</v>
      </c>
      <c r="B14" s="2">
        <v>4332</v>
      </c>
      <c r="C14" s="6">
        <f t="shared" si="0"/>
        <v>0.57369884783472391</v>
      </c>
      <c r="D14" s="2">
        <v>2894</v>
      </c>
      <c r="E14" s="6">
        <f t="shared" si="1"/>
        <v>0.38326049529863593</v>
      </c>
      <c r="F14" s="2">
        <v>325</v>
      </c>
      <c r="G14" s="6">
        <f t="shared" si="2"/>
        <v>4.304065686664018E-2</v>
      </c>
    </row>
    <row r="15" spans="1:7" ht="12" customHeight="1">
      <c r="A15" s="1" t="s">
        <v>47</v>
      </c>
      <c r="B15" s="2">
        <v>4293</v>
      </c>
      <c r="C15" s="6">
        <f t="shared" si="0"/>
        <v>0.60176619007569387</v>
      </c>
      <c r="D15" s="2">
        <v>2585</v>
      </c>
      <c r="E15" s="6">
        <f t="shared" si="1"/>
        <v>0.36234931314830388</v>
      </c>
      <c r="F15" s="2">
        <v>256</v>
      </c>
      <c r="G15" s="6">
        <f t="shared" si="2"/>
        <v>3.5884496776002243E-2</v>
      </c>
    </row>
    <row r="16" spans="1:7" ht="12" customHeight="1">
      <c r="A16" s="1" t="s">
        <v>48</v>
      </c>
      <c r="B16" s="2">
        <v>4761</v>
      </c>
      <c r="C16" s="6">
        <f t="shared" si="0"/>
        <v>0.58901397995793636</v>
      </c>
      <c r="D16" s="2">
        <v>3083</v>
      </c>
      <c r="E16" s="6">
        <f t="shared" si="1"/>
        <v>0.38141779042434737</v>
      </c>
      <c r="F16" s="2">
        <v>239</v>
      </c>
      <c r="G16" s="6">
        <f t="shared" si="2"/>
        <v>2.9568229617716196E-2</v>
      </c>
    </row>
    <row r="17" spans="1:7" ht="12" customHeight="1">
      <c r="A17" s="1" t="s">
        <v>49</v>
      </c>
      <c r="B17" s="2">
        <v>3417</v>
      </c>
      <c r="C17" s="6">
        <f t="shared" si="0"/>
        <v>0.58161702127659576</v>
      </c>
      <c r="D17" s="2">
        <v>2152</v>
      </c>
      <c r="E17" s="6">
        <f t="shared" si="1"/>
        <v>0.36629787234042555</v>
      </c>
      <c r="F17" s="2">
        <v>306</v>
      </c>
      <c r="G17" s="6">
        <f t="shared" si="2"/>
        <v>5.2085106382978724E-2</v>
      </c>
    </row>
    <row r="18" spans="1:7" ht="12" customHeight="1">
      <c r="A18" s="1" t="s">
        <v>50</v>
      </c>
      <c r="B18" s="2">
        <v>3947</v>
      </c>
      <c r="C18" s="6">
        <f t="shared" si="0"/>
        <v>0.56361559331714983</v>
      </c>
      <c r="D18" s="2">
        <v>2724</v>
      </c>
      <c r="E18" s="6">
        <f t="shared" si="1"/>
        <v>0.38897615307725258</v>
      </c>
      <c r="F18" s="2">
        <v>332</v>
      </c>
      <c r="G18" s="6">
        <f t="shared" si="2"/>
        <v>4.7408253605597604E-2</v>
      </c>
    </row>
    <row r="19" spans="1:7" ht="12" customHeight="1">
      <c r="A19" s="1" t="s">
        <v>51</v>
      </c>
      <c r="B19" s="2">
        <v>3161</v>
      </c>
      <c r="C19" s="6">
        <f t="shared" si="0"/>
        <v>0.56537292076551604</v>
      </c>
      <c r="D19" s="2">
        <v>2148</v>
      </c>
      <c r="E19" s="6">
        <f t="shared" si="1"/>
        <v>0.38418887497764265</v>
      </c>
      <c r="F19" s="2">
        <v>282</v>
      </c>
      <c r="G19" s="6">
        <f t="shared" si="2"/>
        <v>5.0438204256841354E-2</v>
      </c>
    </row>
    <row r="20" spans="1:7" ht="12" customHeight="1">
      <c r="A20" s="1" t="s">
        <v>52</v>
      </c>
      <c r="B20" s="2">
        <v>3754</v>
      </c>
      <c r="C20" s="6">
        <f t="shared" si="0"/>
        <v>0.57869585324495143</v>
      </c>
      <c r="D20" s="2">
        <v>2414</v>
      </c>
      <c r="E20" s="6">
        <f t="shared" si="1"/>
        <v>0.37212887313087711</v>
      </c>
      <c r="F20" s="2">
        <v>319</v>
      </c>
      <c r="G20" s="6">
        <f t="shared" si="2"/>
        <v>4.9175273624171421E-2</v>
      </c>
    </row>
    <row r="21" spans="1:7" ht="12" customHeight="1">
      <c r="A21" s="1" t="s">
        <v>53</v>
      </c>
      <c r="B21" s="2">
        <v>3217</v>
      </c>
      <c r="C21" s="6">
        <f t="shared" si="0"/>
        <v>0.57984859408795963</v>
      </c>
      <c r="D21" s="2">
        <v>2033</v>
      </c>
      <c r="E21" s="6">
        <f t="shared" si="1"/>
        <v>0.36643835616438358</v>
      </c>
      <c r="F21" s="2">
        <v>298</v>
      </c>
      <c r="G21" s="6">
        <f t="shared" si="2"/>
        <v>5.371304974765681E-2</v>
      </c>
    </row>
    <row r="22" spans="1:7" ht="12" customHeight="1">
      <c r="A22" s="1" t="s">
        <v>54</v>
      </c>
      <c r="B22" s="2">
        <v>3517</v>
      </c>
      <c r="C22" s="6">
        <f t="shared" si="0"/>
        <v>0.59731657608695654</v>
      </c>
      <c r="D22" s="2">
        <v>2165</v>
      </c>
      <c r="E22" s="6">
        <f t="shared" si="1"/>
        <v>0.36769701086956524</v>
      </c>
      <c r="F22" s="2">
        <v>206</v>
      </c>
      <c r="G22" s="6">
        <f t="shared" si="2"/>
        <v>3.4986413043478264E-2</v>
      </c>
    </row>
    <row r="23" spans="1:7" ht="12" customHeight="1">
      <c r="A23" s="1" t="s">
        <v>55</v>
      </c>
      <c r="B23" s="2">
        <v>3421</v>
      </c>
      <c r="C23" s="6">
        <f t="shared" si="0"/>
        <v>0.58180272108843534</v>
      </c>
      <c r="D23" s="2">
        <v>2172</v>
      </c>
      <c r="E23" s="6">
        <f t="shared" si="1"/>
        <v>0.3693877551020408</v>
      </c>
      <c r="F23" s="2">
        <v>287</v>
      </c>
      <c r="G23" s="6">
        <f t="shared" si="2"/>
        <v>4.880952380952381E-2</v>
      </c>
    </row>
    <row r="24" spans="1:7" ht="12" customHeight="1">
      <c r="A24" s="1" t="s">
        <v>56</v>
      </c>
      <c r="B24" s="2">
        <v>4093</v>
      </c>
      <c r="C24" s="6">
        <f t="shared" si="0"/>
        <v>0.5947399011915141</v>
      </c>
      <c r="D24" s="2">
        <v>2522</v>
      </c>
      <c r="E24" s="6">
        <f t="shared" si="1"/>
        <v>0.36646323743097936</v>
      </c>
      <c r="F24" s="2">
        <v>267</v>
      </c>
      <c r="G24" s="6">
        <f t="shared" si="2"/>
        <v>3.8796861377506542E-2</v>
      </c>
    </row>
    <row r="25" spans="1:7" ht="12" customHeight="1">
      <c r="A25" s="1" t="s">
        <v>57</v>
      </c>
      <c r="B25" s="2">
        <v>4653</v>
      </c>
      <c r="C25" s="6">
        <f t="shared" si="0"/>
        <v>0.56066996023617299</v>
      </c>
      <c r="D25" s="2">
        <v>3275</v>
      </c>
      <c r="E25" s="6">
        <f t="shared" si="1"/>
        <v>0.39462585853717314</v>
      </c>
      <c r="F25" s="2">
        <v>371</v>
      </c>
      <c r="G25" s="6">
        <f t="shared" si="2"/>
        <v>4.4704181226653816E-2</v>
      </c>
    </row>
    <row r="26" spans="1:7" ht="12" customHeight="1">
      <c r="A26" s="1" t="s">
        <v>58</v>
      </c>
      <c r="B26" s="2">
        <v>4054</v>
      </c>
      <c r="C26" s="6">
        <f t="shared" si="0"/>
        <v>0.57823420339466558</v>
      </c>
      <c r="D26" s="2">
        <v>2637</v>
      </c>
      <c r="E26" s="6">
        <f t="shared" si="1"/>
        <v>0.37612323491655969</v>
      </c>
      <c r="F26" s="2">
        <v>320</v>
      </c>
      <c r="G26" s="6">
        <f t="shared" si="2"/>
        <v>4.5642561688774785E-2</v>
      </c>
    </row>
  </sheetData>
  <mergeCells count="3">
    <mergeCell ref="B1:C1"/>
    <mergeCell ref="D1:E1"/>
    <mergeCell ref="F1:G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opLeftCell="A4" workbookViewId="0">
      <selection activeCell="I19" sqref="I19"/>
    </sheetView>
  </sheetViews>
  <sheetFormatPr defaultRowHeight="14"/>
  <cols>
    <col min="1" max="1" width="20" customWidth="1"/>
    <col min="2" max="7" width="11.5" customWidth="1"/>
  </cols>
  <sheetData>
    <row r="1" spans="1:7" ht="31" customHeight="1">
      <c r="A1" s="5" t="s">
        <v>59</v>
      </c>
      <c r="B1" s="9" t="s">
        <v>6</v>
      </c>
      <c r="C1" s="9"/>
      <c r="D1" s="9" t="s">
        <v>7</v>
      </c>
      <c r="E1" s="9"/>
      <c r="F1" s="9" t="s">
        <v>8</v>
      </c>
      <c r="G1" s="9"/>
    </row>
    <row r="2" spans="1:7" ht="12" customHeight="1">
      <c r="A2" s="1" t="s">
        <v>34</v>
      </c>
      <c r="B2" s="2">
        <v>77</v>
      </c>
      <c r="C2" s="6">
        <f t="shared" ref="C2:C26" si="0">IF(SUM(B2,D2,F2)&gt;0,B2/SUM(B2,D2,F2),0)</f>
        <v>0.35813953488372091</v>
      </c>
      <c r="D2" s="2">
        <v>52</v>
      </c>
      <c r="E2" s="6">
        <f t="shared" ref="E2:E26" si="1">IF(SUM(B2,D2,F2)&gt;0,D2/SUM(B2,D2,F2),0)</f>
        <v>0.24186046511627907</v>
      </c>
      <c r="F2" s="2">
        <v>86</v>
      </c>
      <c r="G2" s="6">
        <f t="shared" ref="G2:G26" si="2">IF(SUM(B2,D2,F2)&gt;0,F2/SUM(B2,D2,F2),0)</f>
        <v>0.4</v>
      </c>
    </row>
    <row r="3" spans="1:7" ht="12" customHeight="1">
      <c r="A3" s="1" t="s">
        <v>35</v>
      </c>
      <c r="B3" s="2">
        <v>54</v>
      </c>
      <c r="C3" s="6">
        <f t="shared" si="0"/>
        <v>0.33750000000000002</v>
      </c>
      <c r="D3" s="2">
        <v>59</v>
      </c>
      <c r="E3" s="6">
        <f t="shared" si="1"/>
        <v>0.36875000000000002</v>
      </c>
      <c r="F3" s="2">
        <v>47</v>
      </c>
      <c r="G3" s="6">
        <f t="shared" si="2"/>
        <v>0.29375000000000001</v>
      </c>
    </row>
    <row r="4" spans="1:7" ht="12" customHeight="1">
      <c r="A4" s="1" t="s">
        <v>36</v>
      </c>
      <c r="B4" s="2">
        <v>96</v>
      </c>
      <c r="C4" s="6">
        <f t="shared" si="0"/>
        <v>0.41921397379912662</v>
      </c>
      <c r="D4" s="2">
        <v>84</v>
      </c>
      <c r="E4" s="6">
        <f t="shared" si="1"/>
        <v>0.36681222707423583</v>
      </c>
      <c r="F4" s="2">
        <v>49</v>
      </c>
      <c r="G4" s="6">
        <f t="shared" si="2"/>
        <v>0.21397379912663755</v>
      </c>
    </row>
    <row r="5" spans="1:7" ht="12" customHeight="1">
      <c r="A5" s="1" t="s">
        <v>37</v>
      </c>
      <c r="B5" s="2">
        <v>82</v>
      </c>
      <c r="C5" s="6">
        <f t="shared" si="0"/>
        <v>0.26973684210526316</v>
      </c>
      <c r="D5" s="2">
        <v>89</v>
      </c>
      <c r="E5" s="6">
        <f t="shared" si="1"/>
        <v>0.29276315789473684</v>
      </c>
      <c r="F5" s="2">
        <v>133</v>
      </c>
      <c r="G5" s="6">
        <f t="shared" si="2"/>
        <v>0.4375</v>
      </c>
    </row>
    <row r="6" spans="1:7" ht="12" customHeight="1">
      <c r="A6" s="1" t="s">
        <v>38</v>
      </c>
      <c r="B6" s="2">
        <v>100</v>
      </c>
      <c r="C6" s="6">
        <f t="shared" si="0"/>
        <v>0.33112582781456956</v>
      </c>
      <c r="D6" s="2">
        <v>75</v>
      </c>
      <c r="E6" s="6">
        <f t="shared" si="1"/>
        <v>0.24834437086092714</v>
      </c>
      <c r="F6" s="2">
        <v>127</v>
      </c>
      <c r="G6" s="6">
        <f t="shared" si="2"/>
        <v>0.42052980132450329</v>
      </c>
    </row>
    <row r="7" spans="1:7" ht="12" customHeight="1">
      <c r="A7" s="1" t="s">
        <v>39</v>
      </c>
      <c r="B7" s="2">
        <v>89</v>
      </c>
      <c r="C7" s="6">
        <f t="shared" si="0"/>
        <v>0.27051671732522797</v>
      </c>
      <c r="D7" s="2">
        <v>102</v>
      </c>
      <c r="E7" s="6">
        <f t="shared" si="1"/>
        <v>0.3100303951367781</v>
      </c>
      <c r="F7" s="2">
        <v>138</v>
      </c>
      <c r="G7" s="6">
        <f t="shared" si="2"/>
        <v>0.41945288753799392</v>
      </c>
    </row>
    <row r="8" spans="1:7" ht="12" customHeight="1">
      <c r="A8" s="1" t="s">
        <v>40</v>
      </c>
      <c r="B8" s="2">
        <v>87</v>
      </c>
      <c r="C8" s="6">
        <f t="shared" si="0"/>
        <v>0.28155339805825241</v>
      </c>
      <c r="D8" s="2">
        <v>84</v>
      </c>
      <c r="E8" s="6">
        <f t="shared" si="1"/>
        <v>0.27184466019417475</v>
      </c>
      <c r="F8" s="2">
        <v>138</v>
      </c>
      <c r="G8" s="6">
        <f t="shared" si="2"/>
        <v>0.44660194174757284</v>
      </c>
    </row>
    <row r="9" spans="1:7" ht="12" customHeight="1">
      <c r="A9" s="1" t="s">
        <v>41</v>
      </c>
      <c r="B9" s="2">
        <v>86</v>
      </c>
      <c r="C9" s="6">
        <f t="shared" si="0"/>
        <v>0.2986111111111111</v>
      </c>
      <c r="D9" s="2">
        <v>85</v>
      </c>
      <c r="E9" s="6">
        <f t="shared" si="1"/>
        <v>0.2951388888888889</v>
      </c>
      <c r="F9" s="2">
        <v>117</v>
      </c>
      <c r="G9" s="6">
        <f t="shared" si="2"/>
        <v>0.40625</v>
      </c>
    </row>
    <row r="10" spans="1:7" ht="12" customHeight="1">
      <c r="A10" s="1" t="s">
        <v>42</v>
      </c>
      <c r="B10" s="2">
        <v>82</v>
      </c>
      <c r="C10" s="6">
        <f t="shared" si="0"/>
        <v>0.27424749163879597</v>
      </c>
      <c r="D10" s="2">
        <v>102</v>
      </c>
      <c r="E10" s="6">
        <f t="shared" si="1"/>
        <v>0.34113712374581939</v>
      </c>
      <c r="F10" s="2">
        <v>115</v>
      </c>
      <c r="G10" s="6">
        <f t="shared" si="2"/>
        <v>0.38461538461538464</v>
      </c>
    </row>
    <row r="11" spans="1:7" ht="12" customHeight="1">
      <c r="A11" s="1" t="s">
        <v>43</v>
      </c>
      <c r="B11" s="2">
        <v>84</v>
      </c>
      <c r="C11" s="6">
        <f t="shared" si="0"/>
        <v>0.27722772277227725</v>
      </c>
      <c r="D11" s="2">
        <v>83</v>
      </c>
      <c r="E11" s="6">
        <f t="shared" si="1"/>
        <v>0.27392739273927391</v>
      </c>
      <c r="F11" s="2">
        <v>136</v>
      </c>
      <c r="G11" s="6">
        <f t="shared" si="2"/>
        <v>0.44884488448844884</v>
      </c>
    </row>
    <row r="12" spans="1:7" ht="12" customHeight="1">
      <c r="A12" s="1" t="s">
        <v>44</v>
      </c>
      <c r="B12" s="2">
        <v>91</v>
      </c>
      <c r="C12" s="6">
        <f t="shared" si="0"/>
        <v>0.26923076923076922</v>
      </c>
      <c r="D12" s="2">
        <v>115</v>
      </c>
      <c r="E12" s="6">
        <f t="shared" si="1"/>
        <v>0.34023668639053256</v>
      </c>
      <c r="F12" s="2">
        <v>132</v>
      </c>
      <c r="G12" s="6">
        <f t="shared" si="2"/>
        <v>0.39053254437869822</v>
      </c>
    </row>
    <row r="13" spans="1:7" ht="12" customHeight="1">
      <c r="A13" s="1" t="s">
        <v>45</v>
      </c>
      <c r="B13" s="2">
        <v>102</v>
      </c>
      <c r="C13" s="6">
        <f t="shared" si="0"/>
        <v>0.28099173553719009</v>
      </c>
      <c r="D13" s="2">
        <v>123</v>
      </c>
      <c r="E13" s="6">
        <f t="shared" si="1"/>
        <v>0.33884297520661155</v>
      </c>
      <c r="F13" s="2">
        <v>138</v>
      </c>
      <c r="G13" s="6">
        <f t="shared" si="2"/>
        <v>0.38016528925619836</v>
      </c>
    </row>
    <row r="14" spans="1:7" ht="12" customHeight="1">
      <c r="A14" s="1" t="s">
        <v>46</v>
      </c>
      <c r="B14" s="2">
        <v>95</v>
      </c>
      <c r="C14" s="6">
        <f t="shared" si="0"/>
        <v>0.26243093922651933</v>
      </c>
      <c r="D14" s="2">
        <v>128</v>
      </c>
      <c r="E14" s="6">
        <f t="shared" si="1"/>
        <v>0.35359116022099446</v>
      </c>
      <c r="F14" s="2">
        <v>139</v>
      </c>
      <c r="G14" s="6">
        <f t="shared" si="2"/>
        <v>0.38397790055248621</v>
      </c>
    </row>
    <row r="15" spans="1:7" ht="12" customHeight="1">
      <c r="A15" s="1" t="s">
        <v>47</v>
      </c>
      <c r="B15" s="2">
        <v>98</v>
      </c>
      <c r="C15" s="6">
        <f t="shared" si="0"/>
        <v>0.33793103448275863</v>
      </c>
      <c r="D15" s="2">
        <v>115</v>
      </c>
      <c r="E15" s="6">
        <f t="shared" si="1"/>
        <v>0.39655172413793105</v>
      </c>
      <c r="F15" s="2">
        <v>77</v>
      </c>
      <c r="G15" s="6">
        <f t="shared" si="2"/>
        <v>0.26551724137931032</v>
      </c>
    </row>
    <row r="16" spans="1:7" ht="12" customHeight="1">
      <c r="A16" s="1" t="s">
        <v>48</v>
      </c>
      <c r="B16" s="2">
        <v>138</v>
      </c>
      <c r="C16" s="6">
        <f t="shared" si="0"/>
        <v>0.39316239316239315</v>
      </c>
      <c r="D16" s="2">
        <v>142</v>
      </c>
      <c r="E16" s="6">
        <f t="shared" si="1"/>
        <v>0.40455840455840458</v>
      </c>
      <c r="F16" s="2">
        <v>71</v>
      </c>
      <c r="G16" s="6">
        <f t="shared" si="2"/>
        <v>0.20227920227920229</v>
      </c>
    </row>
    <row r="17" spans="1:7" ht="12" customHeight="1">
      <c r="A17" s="1" t="s">
        <v>49</v>
      </c>
      <c r="B17" s="2">
        <v>102</v>
      </c>
      <c r="C17" s="6">
        <f t="shared" si="0"/>
        <v>0.27200000000000002</v>
      </c>
      <c r="D17" s="2">
        <v>140</v>
      </c>
      <c r="E17" s="6">
        <f t="shared" si="1"/>
        <v>0.37333333333333335</v>
      </c>
      <c r="F17" s="2">
        <v>133</v>
      </c>
      <c r="G17" s="6">
        <f t="shared" si="2"/>
        <v>0.35466666666666669</v>
      </c>
    </row>
    <row r="18" spans="1:7" ht="12" customHeight="1">
      <c r="A18" s="1" t="s">
        <v>50</v>
      </c>
      <c r="B18" s="2">
        <v>107</v>
      </c>
      <c r="C18" s="6">
        <f t="shared" si="0"/>
        <v>0.26550868486352358</v>
      </c>
      <c r="D18" s="2">
        <v>150</v>
      </c>
      <c r="E18" s="6">
        <f t="shared" si="1"/>
        <v>0.37220843672456577</v>
      </c>
      <c r="F18" s="2">
        <v>146</v>
      </c>
      <c r="G18" s="6">
        <f t="shared" si="2"/>
        <v>0.36228287841191065</v>
      </c>
    </row>
    <row r="19" spans="1:7" ht="12" customHeight="1">
      <c r="A19" s="1" t="s">
        <v>51</v>
      </c>
      <c r="B19" s="2">
        <v>108</v>
      </c>
      <c r="C19" s="6">
        <f t="shared" si="0"/>
        <v>0.3323076923076923</v>
      </c>
      <c r="D19" s="2">
        <v>110</v>
      </c>
      <c r="E19" s="6">
        <f t="shared" si="1"/>
        <v>0.33846153846153848</v>
      </c>
      <c r="F19" s="2">
        <v>107</v>
      </c>
      <c r="G19" s="6">
        <f t="shared" si="2"/>
        <v>0.32923076923076922</v>
      </c>
    </row>
    <row r="20" spans="1:7" ht="12" customHeight="1">
      <c r="A20" s="1" t="s">
        <v>52</v>
      </c>
      <c r="B20" s="2">
        <v>98</v>
      </c>
      <c r="C20" s="6">
        <f t="shared" si="0"/>
        <v>0.29696969696969699</v>
      </c>
      <c r="D20" s="2">
        <v>114</v>
      </c>
      <c r="E20" s="6">
        <f t="shared" si="1"/>
        <v>0.34545454545454546</v>
      </c>
      <c r="F20" s="2">
        <v>118</v>
      </c>
      <c r="G20" s="6">
        <f t="shared" si="2"/>
        <v>0.3575757575757576</v>
      </c>
    </row>
    <row r="21" spans="1:7" ht="12" customHeight="1">
      <c r="A21" s="1" t="s">
        <v>53</v>
      </c>
      <c r="B21" s="2">
        <v>98</v>
      </c>
      <c r="C21" s="6">
        <f t="shared" si="0"/>
        <v>0.310126582278481</v>
      </c>
      <c r="D21" s="2">
        <v>117</v>
      </c>
      <c r="E21" s="6">
        <f t="shared" si="1"/>
        <v>0.370253164556962</v>
      </c>
      <c r="F21" s="2">
        <v>101</v>
      </c>
      <c r="G21" s="6">
        <f t="shared" si="2"/>
        <v>0.31962025316455694</v>
      </c>
    </row>
    <row r="22" spans="1:7" ht="12" customHeight="1">
      <c r="A22" s="1" t="s">
        <v>54</v>
      </c>
      <c r="B22" s="2">
        <v>103</v>
      </c>
      <c r="C22" s="6">
        <f t="shared" si="0"/>
        <v>0.36785714285714288</v>
      </c>
      <c r="D22" s="2">
        <v>121</v>
      </c>
      <c r="E22" s="6">
        <f t="shared" si="1"/>
        <v>0.43214285714285716</v>
      </c>
      <c r="F22" s="2">
        <v>56</v>
      </c>
      <c r="G22" s="6">
        <f t="shared" si="2"/>
        <v>0.2</v>
      </c>
    </row>
    <row r="23" spans="1:7" ht="12" customHeight="1">
      <c r="A23" s="1" t="s">
        <v>55</v>
      </c>
      <c r="B23" s="2">
        <v>121</v>
      </c>
      <c r="C23" s="6">
        <f t="shared" si="0"/>
        <v>0.35276967930029157</v>
      </c>
      <c r="D23" s="2">
        <v>111</v>
      </c>
      <c r="E23" s="6">
        <f t="shared" si="1"/>
        <v>0.32361516034985421</v>
      </c>
      <c r="F23" s="2">
        <v>111</v>
      </c>
      <c r="G23" s="6">
        <f t="shared" si="2"/>
        <v>0.32361516034985421</v>
      </c>
    </row>
    <row r="24" spans="1:7" ht="12" customHeight="1">
      <c r="A24" s="1" t="s">
        <v>56</v>
      </c>
      <c r="B24" s="2">
        <v>133</v>
      </c>
      <c r="C24" s="6">
        <f t="shared" si="0"/>
        <v>0.39233038348082594</v>
      </c>
      <c r="D24" s="2">
        <v>106</v>
      </c>
      <c r="E24" s="6">
        <f t="shared" si="1"/>
        <v>0.31268436578171094</v>
      </c>
      <c r="F24" s="2">
        <v>100</v>
      </c>
      <c r="G24" s="6">
        <f t="shared" si="2"/>
        <v>0.29498525073746312</v>
      </c>
    </row>
    <row r="25" spans="1:7" ht="12" customHeight="1">
      <c r="A25" s="1" t="s">
        <v>57</v>
      </c>
      <c r="B25" s="2">
        <v>150</v>
      </c>
      <c r="C25" s="6">
        <f t="shared" si="0"/>
        <v>0.36144578313253012</v>
      </c>
      <c r="D25" s="2">
        <v>148</v>
      </c>
      <c r="E25" s="6">
        <f t="shared" si="1"/>
        <v>0.3566265060240964</v>
      </c>
      <c r="F25" s="2">
        <v>117</v>
      </c>
      <c r="G25" s="6">
        <f t="shared" si="2"/>
        <v>0.28192771084337348</v>
      </c>
    </row>
    <row r="26" spans="1:7" ht="12" customHeight="1">
      <c r="A26" s="1" t="s">
        <v>58</v>
      </c>
      <c r="B26" s="2">
        <v>140</v>
      </c>
      <c r="C26" s="6">
        <f t="shared" si="0"/>
        <v>0.32558139534883723</v>
      </c>
      <c r="D26" s="2">
        <v>167</v>
      </c>
      <c r="E26" s="6">
        <f t="shared" si="1"/>
        <v>0.38837209302325582</v>
      </c>
      <c r="F26" s="2">
        <v>123</v>
      </c>
      <c r="G26" s="6">
        <f t="shared" si="2"/>
        <v>0.28604651162790695</v>
      </c>
    </row>
  </sheetData>
  <mergeCells count="3">
    <mergeCell ref="B1:C1"/>
    <mergeCell ref="D1:E1"/>
    <mergeCell ref="F1:G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opLeftCell="A10" workbookViewId="0">
      <selection activeCell="E26" sqref="E26"/>
    </sheetView>
  </sheetViews>
  <sheetFormatPr defaultRowHeight="14"/>
  <cols>
    <col min="1" max="1" width="16" customWidth="1"/>
    <col min="2" max="6" width="22.5" customWidth="1"/>
  </cols>
  <sheetData>
    <row r="1" spans="1:6" ht="17.39999999999999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2" customHeight="1">
      <c r="A2" s="4" t="s">
        <v>9</v>
      </c>
      <c r="B2" s="7">
        <f t="shared" ref="B2:B26" si="0">ROUND(IF(E2&gt;0,D2/E2,0),2)</f>
        <v>4.62</v>
      </c>
      <c r="C2" s="8">
        <f t="shared" ref="C2:C26" si="1">ROUND(IF(F2&gt;0,B2/F2,0),3)</f>
        <v>0.154</v>
      </c>
      <c r="D2" s="2">
        <v>70793</v>
      </c>
      <c r="E2" s="2">
        <v>15333</v>
      </c>
      <c r="F2" s="3">
        <v>30</v>
      </c>
    </row>
    <row r="3" spans="1:6" ht="12" customHeight="1">
      <c r="A3" s="4" t="s">
        <v>10</v>
      </c>
      <c r="B3" s="7">
        <f t="shared" si="0"/>
        <v>4.05</v>
      </c>
      <c r="C3" s="8">
        <f t="shared" si="1"/>
        <v>0.13100000000000001</v>
      </c>
      <c r="D3" s="2">
        <v>62229</v>
      </c>
      <c r="E3" s="2">
        <v>15364</v>
      </c>
      <c r="F3" s="3">
        <v>31</v>
      </c>
    </row>
    <row r="4" spans="1:6" ht="12" customHeight="1">
      <c r="A4" s="4" t="s">
        <v>11</v>
      </c>
      <c r="B4" s="7">
        <f t="shared" si="0"/>
        <v>4.18</v>
      </c>
      <c r="C4" s="8">
        <f t="shared" si="1"/>
        <v>0.13500000000000001</v>
      </c>
      <c r="D4" s="2">
        <v>73732</v>
      </c>
      <c r="E4" s="2">
        <v>17633</v>
      </c>
      <c r="F4" s="3">
        <v>31</v>
      </c>
    </row>
    <row r="5" spans="1:6" ht="12" customHeight="1">
      <c r="A5" s="4" t="s">
        <v>12</v>
      </c>
      <c r="B5" s="7">
        <f t="shared" si="0"/>
        <v>5.26</v>
      </c>
      <c r="C5" s="8">
        <f t="shared" si="1"/>
        <v>0.17499999999999999</v>
      </c>
      <c r="D5" s="2">
        <v>87532</v>
      </c>
      <c r="E5" s="2">
        <v>16652</v>
      </c>
      <c r="F5" s="3">
        <v>30</v>
      </c>
    </row>
    <row r="6" spans="1:6" ht="12" customHeight="1">
      <c r="A6" s="4" t="s">
        <v>13</v>
      </c>
      <c r="B6" s="7">
        <f t="shared" si="0"/>
        <v>4.91</v>
      </c>
      <c r="C6" s="8">
        <f t="shared" si="1"/>
        <v>0.158</v>
      </c>
      <c r="D6" s="2">
        <v>78878</v>
      </c>
      <c r="E6" s="2">
        <v>16054</v>
      </c>
      <c r="F6" s="3">
        <v>31</v>
      </c>
    </row>
    <row r="7" spans="1:6" ht="12" customHeight="1">
      <c r="A7" s="4" t="s">
        <v>14</v>
      </c>
      <c r="B7" s="7">
        <f t="shared" si="0"/>
        <v>4.82</v>
      </c>
      <c r="C7" s="8">
        <f t="shared" si="1"/>
        <v>0.161</v>
      </c>
      <c r="D7" s="2">
        <v>92804</v>
      </c>
      <c r="E7" s="2">
        <v>19244</v>
      </c>
      <c r="F7" s="3">
        <v>30</v>
      </c>
    </row>
    <row r="8" spans="1:6" ht="12" customHeight="1">
      <c r="A8" s="4" t="s">
        <v>15</v>
      </c>
      <c r="B8" s="7">
        <f t="shared" si="0"/>
        <v>5.25</v>
      </c>
      <c r="C8" s="8">
        <f t="shared" si="1"/>
        <v>0.16900000000000001</v>
      </c>
      <c r="D8" s="2">
        <v>94174</v>
      </c>
      <c r="E8" s="2">
        <v>17955</v>
      </c>
      <c r="F8" s="3">
        <v>31</v>
      </c>
    </row>
    <row r="9" spans="1:6" ht="12" customHeight="1">
      <c r="A9" s="4" t="s">
        <v>16</v>
      </c>
      <c r="B9" s="7">
        <f t="shared" si="0"/>
        <v>4.34</v>
      </c>
      <c r="C9" s="8">
        <f t="shared" si="1"/>
        <v>0.14000000000000001</v>
      </c>
      <c r="D9" s="2">
        <v>72020</v>
      </c>
      <c r="E9" s="2">
        <v>16584</v>
      </c>
      <c r="F9" s="3">
        <v>31</v>
      </c>
    </row>
    <row r="10" spans="1:6" ht="12" customHeight="1">
      <c r="A10" s="4" t="s">
        <v>17</v>
      </c>
      <c r="B10" s="7">
        <f t="shared" si="0"/>
        <v>4.46</v>
      </c>
      <c r="C10" s="8">
        <f t="shared" si="1"/>
        <v>0.159</v>
      </c>
      <c r="D10" s="2">
        <v>68543</v>
      </c>
      <c r="E10" s="2">
        <v>15381</v>
      </c>
      <c r="F10" s="3">
        <v>28</v>
      </c>
    </row>
    <row r="11" spans="1:6" ht="12" customHeight="1">
      <c r="A11" s="4" t="s">
        <v>18</v>
      </c>
      <c r="B11" s="7">
        <f t="shared" si="0"/>
        <v>5.33</v>
      </c>
      <c r="C11" s="8">
        <f t="shared" si="1"/>
        <v>0.17199999999999999</v>
      </c>
      <c r="D11" s="2">
        <v>86418</v>
      </c>
      <c r="E11" s="2">
        <v>16213</v>
      </c>
      <c r="F11" s="3">
        <v>31</v>
      </c>
    </row>
    <row r="12" spans="1:6" ht="12" customHeight="1">
      <c r="A12" s="4" t="s">
        <v>19</v>
      </c>
      <c r="B12" s="7">
        <f t="shared" si="0"/>
        <v>4.8899999999999997</v>
      </c>
      <c r="C12" s="8">
        <f t="shared" si="1"/>
        <v>0.16300000000000001</v>
      </c>
      <c r="D12" s="2">
        <v>83594</v>
      </c>
      <c r="E12" s="2">
        <v>17089</v>
      </c>
      <c r="F12" s="3">
        <v>30</v>
      </c>
    </row>
    <row r="13" spans="1:6" ht="12" customHeight="1">
      <c r="A13" s="4" t="s">
        <v>20</v>
      </c>
      <c r="B13" s="7">
        <f t="shared" si="0"/>
        <v>5.24</v>
      </c>
      <c r="C13" s="8">
        <f t="shared" si="1"/>
        <v>0.16900000000000001</v>
      </c>
      <c r="D13" s="2">
        <v>82907</v>
      </c>
      <c r="E13" s="2">
        <v>15813</v>
      </c>
      <c r="F13" s="3">
        <v>31</v>
      </c>
    </row>
    <row r="14" spans="1:6" ht="12" customHeight="1">
      <c r="A14" s="4" t="s">
        <v>21</v>
      </c>
      <c r="B14" s="7">
        <f t="shared" si="0"/>
        <v>4.9800000000000004</v>
      </c>
      <c r="C14" s="8">
        <f t="shared" si="1"/>
        <v>0.16600000000000001</v>
      </c>
      <c r="D14" s="2">
        <v>77517</v>
      </c>
      <c r="E14" s="2">
        <v>15559</v>
      </c>
      <c r="F14" s="3">
        <v>30</v>
      </c>
    </row>
    <row r="15" spans="1:6" ht="12" customHeight="1">
      <c r="A15" s="4" t="s">
        <v>22</v>
      </c>
      <c r="B15" s="7">
        <f t="shared" si="0"/>
        <v>3.99</v>
      </c>
      <c r="C15" s="8">
        <f t="shared" si="1"/>
        <v>0.129</v>
      </c>
      <c r="D15" s="2">
        <v>61430</v>
      </c>
      <c r="E15" s="2">
        <v>15407</v>
      </c>
      <c r="F15" s="3">
        <v>31</v>
      </c>
    </row>
    <row r="16" spans="1:6" ht="12" customHeight="1">
      <c r="A16" s="4" t="s">
        <v>23</v>
      </c>
      <c r="B16" s="7">
        <f t="shared" si="0"/>
        <v>3.73</v>
      </c>
      <c r="C16" s="8">
        <f t="shared" si="1"/>
        <v>0.12</v>
      </c>
      <c r="D16" s="2">
        <v>63965</v>
      </c>
      <c r="E16" s="2">
        <v>17155</v>
      </c>
      <c r="F16" s="3">
        <v>31</v>
      </c>
    </row>
    <row r="17" spans="1:6" ht="12" customHeight="1">
      <c r="A17" s="4" t="s">
        <v>24</v>
      </c>
      <c r="B17" s="7">
        <f t="shared" si="0"/>
        <v>5.53</v>
      </c>
      <c r="C17" s="8">
        <f t="shared" si="1"/>
        <v>0.184</v>
      </c>
      <c r="D17" s="2">
        <v>78461</v>
      </c>
      <c r="E17" s="2">
        <v>14196</v>
      </c>
      <c r="F17" s="3">
        <v>30</v>
      </c>
    </row>
    <row r="18" spans="1:6" ht="12" customHeight="1">
      <c r="A18" s="4" t="s">
        <v>25</v>
      </c>
      <c r="B18" s="7">
        <f t="shared" si="0"/>
        <v>5.35</v>
      </c>
      <c r="C18" s="8">
        <f t="shared" si="1"/>
        <v>0.17299999999999999</v>
      </c>
      <c r="D18" s="2">
        <v>87935</v>
      </c>
      <c r="E18" s="2">
        <v>16443</v>
      </c>
      <c r="F18" s="3">
        <v>31</v>
      </c>
    </row>
    <row r="19" spans="1:6" ht="12" customHeight="1">
      <c r="A19" s="4" t="s">
        <v>26</v>
      </c>
      <c r="B19" s="7">
        <f t="shared" si="0"/>
        <v>3.93</v>
      </c>
      <c r="C19" s="8">
        <f t="shared" si="1"/>
        <v>0.13100000000000001</v>
      </c>
      <c r="D19" s="2">
        <v>35607</v>
      </c>
      <c r="E19" s="2">
        <v>9059</v>
      </c>
      <c r="F19" s="3">
        <v>30</v>
      </c>
    </row>
    <row r="20" spans="1:6" ht="12" customHeight="1">
      <c r="A20" s="4" t="s">
        <v>27</v>
      </c>
      <c r="B20" s="7">
        <f t="shared" si="0"/>
        <v>5.2</v>
      </c>
      <c r="C20" s="8">
        <f t="shared" si="1"/>
        <v>0.16800000000000001</v>
      </c>
      <c r="D20" s="2">
        <v>88727</v>
      </c>
      <c r="E20" s="2">
        <v>17059</v>
      </c>
      <c r="F20" s="3">
        <v>31</v>
      </c>
    </row>
    <row r="21" spans="1:6" ht="12" customHeight="1">
      <c r="A21" s="4" t="s">
        <v>28</v>
      </c>
      <c r="B21" s="7">
        <f t="shared" si="0"/>
        <v>4.55</v>
      </c>
      <c r="C21" s="8">
        <f t="shared" si="1"/>
        <v>0.14699999999999999</v>
      </c>
      <c r="D21" s="2">
        <v>70523</v>
      </c>
      <c r="E21" s="2">
        <v>15500</v>
      </c>
      <c r="F21" s="3">
        <v>31</v>
      </c>
    </row>
    <row r="22" spans="1:6" ht="12" customHeight="1">
      <c r="A22" s="4" t="s">
        <v>29</v>
      </c>
      <c r="B22" s="7">
        <f t="shared" si="0"/>
        <v>3.44</v>
      </c>
      <c r="C22" s="8">
        <f t="shared" si="1"/>
        <v>0.123</v>
      </c>
      <c r="D22" s="2">
        <v>56672</v>
      </c>
      <c r="E22" s="2">
        <v>16493</v>
      </c>
      <c r="F22" s="3">
        <v>28</v>
      </c>
    </row>
    <row r="23" spans="1:6" ht="12" customHeight="1">
      <c r="A23" s="4" t="s">
        <v>30</v>
      </c>
      <c r="B23" s="7">
        <f t="shared" si="0"/>
        <v>5.18</v>
      </c>
      <c r="C23" s="8">
        <f t="shared" si="1"/>
        <v>0.16700000000000001</v>
      </c>
      <c r="D23" s="2">
        <v>81699</v>
      </c>
      <c r="E23" s="2">
        <v>15778</v>
      </c>
      <c r="F23" s="3">
        <v>31</v>
      </c>
    </row>
    <row r="24" spans="1:6" ht="12" customHeight="1">
      <c r="A24" s="4" t="s">
        <v>31</v>
      </c>
      <c r="B24" s="7">
        <f t="shared" si="0"/>
        <v>4.79</v>
      </c>
      <c r="C24" s="8">
        <f t="shared" si="1"/>
        <v>0.16</v>
      </c>
      <c r="D24" s="2">
        <v>81709</v>
      </c>
      <c r="E24" s="2">
        <v>17041</v>
      </c>
      <c r="F24" s="3">
        <v>30</v>
      </c>
    </row>
    <row r="25" spans="1:6" ht="12" customHeight="1">
      <c r="A25" s="4" t="s">
        <v>32</v>
      </c>
      <c r="B25" s="7">
        <f t="shared" si="0"/>
        <v>4.8</v>
      </c>
      <c r="C25" s="8">
        <f t="shared" si="1"/>
        <v>0.155</v>
      </c>
      <c r="D25" s="2">
        <v>77631</v>
      </c>
      <c r="E25" s="2">
        <v>16173</v>
      </c>
      <c r="F25" s="3">
        <v>31</v>
      </c>
    </row>
    <row r="26" spans="1:6" ht="12" customHeight="1">
      <c r="A26" s="4" t="s">
        <v>33</v>
      </c>
      <c r="B26" s="7">
        <f t="shared" si="0"/>
        <v>4.8600000000000003</v>
      </c>
      <c r="C26" s="8">
        <f t="shared" si="1"/>
        <v>0.16200000000000001</v>
      </c>
      <c r="D26" s="2">
        <v>74525</v>
      </c>
      <c r="E26" s="2">
        <v>15332</v>
      </c>
      <c r="F26" s="3">
        <v>30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selection activeCell="H21" sqref="H21"/>
    </sheetView>
  </sheetViews>
  <sheetFormatPr defaultRowHeight="14"/>
  <cols>
    <col min="1" max="1" width="20" customWidth="1"/>
    <col min="2" max="7" width="11.5" customWidth="1"/>
  </cols>
  <sheetData>
    <row r="1" spans="1:7" ht="32.5" customHeight="1">
      <c r="A1" s="5" t="s">
        <v>59</v>
      </c>
      <c r="B1" s="9" t="s">
        <v>6</v>
      </c>
      <c r="C1" s="9"/>
      <c r="D1" s="9" t="s">
        <v>7</v>
      </c>
      <c r="E1" s="9"/>
      <c r="F1" s="9" t="s">
        <v>8</v>
      </c>
      <c r="G1" s="9"/>
    </row>
    <row r="2" spans="1:7" ht="12" customHeight="1">
      <c r="A2" s="1" t="s">
        <v>34</v>
      </c>
      <c r="B2" s="2">
        <v>5458</v>
      </c>
      <c r="C2" s="6">
        <f t="shared" ref="C2:C26" si="0">IF(SUM(B2,D2,F2)&gt;0,B2/SUM(B2,D2,F2),0)</f>
        <v>0.35596426009261073</v>
      </c>
      <c r="D2" s="2">
        <v>6265</v>
      </c>
      <c r="E2" s="6">
        <f t="shared" ref="E2:E26" si="1">IF(SUM(B2,D2,F2)&gt;0,D2/SUM(B2,D2,F2),0)</f>
        <v>0.40859583903997915</v>
      </c>
      <c r="F2" s="2">
        <v>3610</v>
      </c>
      <c r="G2" s="6">
        <f t="shared" ref="G2:G26" si="2">IF(SUM(B2,D2,F2)&gt;0,F2/SUM(B2,D2,F2),0)</f>
        <v>0.23543990086741015</v>
      </c>
    </row>
    <row r="3" spans="1:7" ht="12" customHeight="1">
      <c r="A3" s="1" t="s">
        <v>35</v>
      </c>
      <c r="B3" s="2">
        <v>5761</v>
      </c>
      <c r="C3" s="6">
        <f t="shared" si="0"/>
        <v>0.3749674563915647</v>
      </c>
      <c r="D3" s="2">
        <v>6224</v>
      </c>
      <c r="E3" s="6">
        <f t="shared" si="1"/>
        <v>0.40510283780265555</v>
      </c>
      <c r="F3" s="2">
        <v>3379</v>
      </c>
      <c r="G3" s="6">
        <f t="shared" si="2"/>
        <v>0.21992970580577975</v>
      </c>
    </row>
    <row r="4" spans="1:7" ht="12" customHeight="1">
      <c r="A4" s="1" t="s">
        <v>36</v>
      </c>
      <c r="B4" s="2">
        <v>6667</v>
      </c>
      <c r="C4" s="6">
        <f t="shared" si="0"/>
        <v>0.37809788464810301</v>
      </c>
      <c r="D4" s="2">
        <v>6612</v>
      </c>
      <c r="E4" s="6">
        <f t="shared" si="1"/>
        <v>0.3749787330573357</v>
      </c>
      <c r="F4" s="2">
        <v>4354</v>
      </c>
      <c r="G4" s="6">
        <f t="shared" si="2"/>
        <v>0.24692338229456134</v>
      </c>
    </row>
    <row r="5" spans="1:7" ht="12" customHeight="1">
      <c r="A5" s="1" t="s">
        <v>37</v>
      </c>
      <c r="B5" s="2">
        <v>5364</v>
      </c>
      <c r="C5" s="6">
        <f t="shared" si="0"/>
        <v>0.32212346865241415</v>
      </c>
      <c r="D5" s="2">
        <v>6422</v>
      </c>
      <c r="E5" s="6">
        <f t="shared" si="1"/>
        <v>0.3856593802546241</v>
      </c>
      <c r="F5" s="2">
        <v>4866</v>
      </c>
      <c r="G5" s="6">
        <f t="shared" si="2"/>
        <v>0.29221715109296181</v>
      </c>
    </row>
    <row r="6" spans="1:7" ht="12" customHeight="1">
      <c r="A6" s="1" t="s">
        <v>38</v>
      </c>
      <c r="B6" s="2">
        <v>5260</v>
      </c>
      <c r="C6" s="6">
        <f t="shared" si="0"/>
        <v>0.32764420082222501</v>
      </c>
      <c r="D6" s="2">
        <v>6642</v>
      </c>
      <c r="E6" s="6">
        <f t="shared" si="1"/>
        <v>0.41372866575308337</v>
      </c>
      <c r="F6" s="2">
        <v>4152</v>
      </c>
      <c r="G6" s="6">
        <f t="shared" si="2"/>
        <v>0.25862713342469168</v>
      </c>
    </row>
    <row r="7" spans="1:7" ht="12" customHeight="1">
      <c r="A7" s="1" t="s">
        <v>39</v>
      </c>
      <c r="B7" s="2">
        <v>6543</v>
      </c>
      <c r="C7" s="6">
        <f t="shared" si="0"/>
        <v>0.34000207856994386</v>
      </c>
      <c r="D7" s="2">
        <v>7926</v>
      </c>
      <c r="E7" s="6">
        <f t="shared" si="1"/>
        <v>0.41186863437954685</v>
      </c>
      <c r="F7" s="2">
        <v>4775</v>
      </c>
      <c r="G7" s="6">
        <f t="shared" si="2"/>
        <v>0.24812928705050924</v>
      </c>
    </row>
    <row r="8" spans="1:7" ht="12" customHeight="1">
      <c r="A8" s="1" t="s">
        <v>40</v>
      </c>
      <c r="B8" s="2">
        <v>6108</v>
      </c>
      <c r="C8" s="6">
        <f t="shared" si="0"/>
        <v>0.34018379281537175</v>
      </c>
      <c r="D8" s="2">
        <v>7207</v>
      </c>
      <c r="E8" s="6">
        <f t="shared" si="1"/>
        <v>0.40139236981342247</v>
      </c>
      <c r="F8" s="2">
        <v>4640</v>
      </c>
      <c r="G8" s="6">
        <f t="shared" si="2"/>
        <v>0.25842383737120578</v>
      </c>
    </row>
    <row r="9" spans="1:7" ht="12" customHeight="1">
      <c r="A9" s="1" t="s">
        <v>41</v>
      </c>
      <c r="B9" s="2">
        <v>6285</v>
      </c>
      <c r="C9" s="6">
        <f t="shared" si="0"/>
        <v>0.37897973950795949</v>
      </c>
      <c r="D9" s="2">
        <v>6567</v>
      </c>
      <c r="E9" s="6">
        <f t="shared" si="1"/>
        <v>0.39598408104196814</v>
      </c>
      <c r="F9" s="2">
        <v>3732</v>
      </c>
      <c r="G9" s="6">
        <f t="shared" si="2"/>
        <v>0.22503617945007237</v>
      </c>
    </row>
    <row r="10" spans="1:7" ht="12" customHeight="1">
      <c r="A10" s="1" t="s">
        <v>42</v>
      </c>
      <c r="B10" s="2">
        <v>5669</v>
      </c>
      <c r="C10" s="6">
        <f t="shared" si="0"/>
        <v>0.36857161432936741</v>
      </c>
      <c r="D10" s="2">
        <v>6071</v>
      </c>
      <c r="E10" s="6">
        <f t="shared" si="1"/>
        <v>0.39470775632273586</v>
      </c>
      <c r="F10" s="2">
        <v>3641</v>
      </c>
      <c r="G10" s="6">
        <f t="shared" si="2"/>
        <v>0.23672062934789675</v>
      </c>
    </row>
    <row r="11" spans="1:7" ht="12" customHeight="1">
      <c r="A11" s="1" t="s">
        <v>43</v>
      </c>
      <c r="B11" s="2">
        <v>5445</v>
      </c>
      <c r="C11" s="6">
        <f t="shared" si="0"/>
        <v>0.33584160858570283</v>
      </c>
      <c r="D11" s="2">
        <v>6523</v>
      </c>
      <c r="E11" s="6">
        <f t="shared" si="1"/>
        <v>0.40233146240671064</v>
      </c>
      <c r="F11" s="2">
        <v>4245</v>
      </c>
      <c r="G11" s="6">
        <f t="shared" si="2"/>
        <v>0.26182692900758653</v>
      </c>
    </row>
    <row r="12" spans="1:7" ht="12" customHeight="1">
      <c r="A12" s="1" t="s">
        <v>44</v>
      </c>
      <c r="B12" s="2">
        <v>6266</v>
      </c>
      <c r="C12" s="6">
        <f t="shared" si="0"/>
        <v>0.36666861723915967</v>
      </c>
      <c r="D12" s="2">
        <v>6747</v>
      </c>
      <c r="E12" s="6">
        <f t="shared" si="1"/>
        <v>0.39481537831353503</v>
      </c>
      <c r="F12" s="2">
        <v>4076</v>
      </c>
      <c r="G12" s="6">
        <f t="shared" si="2"/>
        <v>0.23851600444730528</v>
      </c>
    </row>
    <row r="13" spans="1:7" ht="12" customHeight="1">
      <c r="A13" s="1" t="s">
        <v>45</v>
      </c>
      <c r="B13" s="2">
        <v>5399</v>
      </c>
      <c r="C13" s="6">
        <f t="shared" si="0"/>
        <v>0.34142793903750079</v>
      </c>
      <c r="D13" s="2">
        <v>6258</v>
      </c>
      <c r="E13" s="6">
        <f t="shared" si="1"/>
        <v>0.39575033200531207</v>
      </c>
      <c r="F13" s="2">
        <v>4156</v>
      </c>
      <c r="G13" s="6">
        <f t="shared" si="2"/>
        <v>0.26282172895718714</v>
      </c>
    </row>
    <row r="14" spans="1:7" ht="12" customHeight="1">
      <c r="A14" s="1" t="s">
        <v>46</v>
      </c>
      <c r="B14" s="2">
        <v>5531</v>
      </c>
      <c r="C14" s="6">
        <f t="shared" si="0"/>
        <v>0.35548557105212419</v>
      </c>
      <c r="D14" s="2">
        <v>6026</v>
      </c>
      <c r="E14" s="6">
        <f t="shared" si="1"/>
        <v>0.38729995500996206</v>
      </c>
      <c r="F14" s="2">
        <v>4002</v>
      </c>
      <c r="G14" s="6">
        <f t="shared" si="2"/>
        <v>0.25721447393791375</v>
      </c>
    </row>
    <row r="15" spans="1:7" ht="12" customHeight="1">
      <c r="A15" s="1" t="s">
        <v>47</v>
      </c>
      <c r="B15" s="2">
        <v>5973</v>
      </c>
      <c r="C15" s="6">
        <f t="shared" si="0"/>
        <v>0.38768092425520867</v>
      </c>
      <c r="D15" s="2">
        <v>6248</v>
      </c>
      <c r="E15" s="6">
        <f t="shared" si="1"/>
        <v>0.40552995391705071</v>
      </c>
      <c r="F15" s="2">
        <v>3186</v>
      </c>
      <c r="G15" s="6">
        <f t="shared" si="2"/>
        <v>0.20678912182774065</v>
      </c>
    </row>
    <row r="16" spans="1:7" ht="12" customHeight="1">
      <c r="A16" s="1" t="s">
        <v>48</v>
      </c>
      <c r="B16" s="2">
        <v>6815</v>
      </c>
      <c r="C16" s="6">
        <f t="shared" si="0"/>
        <v>0.39726027397260272</v>
      </c>
      <c r="D16" s="2">
        <v>6999</v>
      </c>
      <c r="E16" s="6">
        <f t="shared" si="1"/>
        <v>0.40798600990964734</v>
      </c>
      <c r="F16" s="2">
        <v>3341</v>
      </c>
      <c r="G16" s="6">
        <f t="shared" si="2"/>
        <v>0.19475371611774991</v>
      </c>
    </row>
    <row r="17" spans="1:7" ht="12" customHeight="1">
      <c r="A17" s="1" t="s">
        <v>49</v>
      </c>
      <c r="B17" s="2">
        <v>4774</v>
      </c>
      <c r="C17" s="6">
        <f t="shared" si="0"/>
        <v>0.33629191321499013</v>
      </c>
      <c r="D17" s="2">
        <v>5423</v>
      </c>
      <c r="E17" s="6">
        <f t="shared" si="1"/>
        <v>0.38200901662440123</v>
      </c>
      <c r="F17" s="2">
        <v>3999</v>
      </c>
      <c r="G17" s="6">
        <f t="shared" si="2"/>
        <v>0.28169907016060863</v>
      </c>
    </row>
    <row r="18" spans="1:7" ht="12" customHeight="1">
      <c r="A18" s="1" t="s">
        <v>50</v>
      </c>
      <c r="B18" s="2">
        <v>5356</v>
      </c>
      <c r="C18" s="6">
        <f t="shared" si="0"/>
        <v>0.32573131423706136</v>
      </c>
      <c r="D18" s="2">
        <v>6642</v>
      </c>
      <c r="E18" s="6">
        <f t="shared" si="1"/>
        <v>0.4039408866995074</v>
      </c>
      <c r="F18" s="2">
        <v>4445</v>
      </c>
      <c r="G18" s="6">
        <f t="shared" si="2"/>
        <v>0.27032779906343124</v>
      </c>
    </row>
    <row r="19" spans="1:7" ht="12" customHeight="1">
      <c r="A19" s="1" t="s">
        <v>51</v>
      </c>
      <c r="B19" s="2">
        <v>3574</v>
      </c>
      <c r="C19" s="6">
        <f t="shared" si="0"/>
        <v>0.39452478198476654</v>
      </c>
      <c r="D19" s="2">
        <v>3486</v>
      </c>
      <c r="E19" s="6">
        <f t="shared" si="1"/>
        <v>0.38481068550612652</v>
      </c>
      <c r="F19" s="2">
        <v>1999</v>
      </c>
      <c r="G19" s="6">
        <f t="shared" si="2"/>
        <v>0.22066453250910698</v>
      </c>
    </row>
    <row r="20" spans="1:7" ht="12" customHeight="1">
      <c r="A20" s="1" t="s">
        <v>52</v>
      </c>
      <c r="B20" s="2">
        <v>5882</v>
      </c>
      <c r="C20" s="6">
        <f t="shared" si="0"/>
        <v>0.34480332962072807</v>
      </c>
      <c r="D20" s="2">
        <v>6845</v>
      </c>
      <c r="E20" s="6">
        <f t="shared" si="1"/>
        <v>0.4012544697813471</v>
      </c>
      <c r="F20" s="2">
        <v>4332</v>
      </c>
      <c r="G20" s="6">
        <f t="shared" si="2"/>
        <v>0.25394220059792483</v>
      </c>
    </row>
    <row r="21" spans="1:7" ht="12" customHeight="1">
      <c r="A21" s="1" t="s">
        <v>53</v>
      </c>
      <c r="B21" s="2">
        <v>5510</v>
      </c>
      <c r="C21" s="6">
        <f t="shared" si="0"/>
        <v>0.35548387096774192</v>
      </c>
      <c r="D21" s="2">
        <v>6426</v>
      </c>
      <c r="E21" s="6">
        <f t="shared" si="1"/>
        <v>0.41458064516129034</v>
      </c>
      <c r="F21" s="2">
        <v>3564</v>
      </c>
      <c r="G21" s="6">
        <f t="shared" si="2"/>
        <v>0.22993548387096774</v>
      </c>
    </row>
    <row r="22" spans="1:7" ht="12" customHeight="1">
      <c r="A22" s="1" t="s">
        <v>54</v>
      </c>
      <c r="B22" s="2">
        <v>6445</v>
      </c>
      <c r="C22" s="6">
        <f t="shared" si="0"/>
        <v>0.39077184259989084</v>
      </c>
      <c r="D22" s="2">
        <v>6976</v>
      </c>
      <c r="E22" s="6">
        <f t="shared" si="1"/>
        <v>0.42296731946886557</v>
      </c>
      <c r="F22" s="2">
        <v>3072</v>
      </c>
      <c r="G22" s="6">
        <f t="shared" si="2"/>
        <v>0.18626083793124357</v>
      </c>
    </row>
    <row r="23" spans="1:7" ht="12" customHeight="1">
      <c r="A23" s="1" t="s">
        <v>55</v>
      </c>
      <c r="B23" s="2">
        <v>5464</v>
      </c>
      <c r="C23" s="6">
        <f t="shared" si="0"/>
        <v>0.34630498161997719</v>
      </c>
      <c r="D23" s="2">
        <v>6278</v>
      </c>
      <c r="E23" s="6">
        <f t="shared" si="1"/>
        <v>0.39789580428444671</v>
      </c>
      <c r="F23" s="2">
        <v>4036</v>
      </c>
      <c r="G23" s="6">
        <f t="shared" si="2"/>
        <v>0.2557992140955761</v>
      </c>
    </row>
    <row r="24" spans="1:7" ht="12" customHeight="1">
      <c r="A24" s="1" t="s">
        <v>56</v>
      </c>
      <c r="B24" s="2">
        <v>6343</v>
      </c>
      <c r="C24" s="6">
        <f t="shared" si="0"/>
        <v>0.37221994014435772</v>
      </c>
      <c r="D24" s="2">
        <v>6711</v>
      </c>
      <c r="E24" s="6">
        <f t="shared" si="1"/>
        <v>0.39381491696496684</v>
      </c>
      <c r="F24" s="2">
        <v>3987</v>
      </c>
      <c r="G24" s="6">
        <f t="shared" si="2"/>
        <v>0.23396514289067544</v>
      </c>
    </row>
    <row r="25" spans="1:7" ht="12" customHeight="1">
      <c r="A25" s="1" t="s">
        <v>57</v>
      </c>
      <c r="B25" s="2">
        <v>5883</v>
      </c>
      <c r="C25" s="6">
        <f t="shared" si="0"/>
        <v>0.36375440549063254</v>
      </c>
      <c r="D25" s="2">
        <v>6443</v>
      </c>
      <c r="E25" s="6">
        <f t="shared" si="1"/>
        <v>0.39838001607617635</v>
      </c>
      <c r="F25" s="2">
        <v>3847</v>
      </c>
      <c r="G25" s="6">
        <f t="shared" si="2"/>
        <v>0.23786557843319112</v>
      </c>
    </row>
    <row r="26" spans="1:7" ht="12" customHeight="1">
      <c r="A26" s="1" t="s">
        <v>58</v>
      </c>
      <c r="B26" s="2">
        <v>5543</v>
      </c>
      <c r="C26" s="6">
        <f t="shared" si="0"/>
        <v>0.36153143751630579</v>
      </c>
      <c r="D26" s="2">
        <v>6030</v>
      </c>
      <c r="E26" s="6">
        <f t="shared" si="1"/>
        <v>0.39329506913644663</v>
      </c>
      <c r="F26" s="2">
        <v>3759</v>
      </c>
      <c r="G26" s="6">
        <f t="shared" si="2"/>
        <v>0.24517349334724758</v>
      </c>
    </row>
  </sheetData>
  <mergeCells count="3">
    <mergeCell ref="B1:C1"/>
    <mergeCell ref="D1:E1"/>
    <mergeCell ref="F1:G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tabSelected="1" workbookViewId="0">
      <selection activeCell="J23" sqref="J23"/>
    </sheetView>
  </sheetViews>
  <sheetFormatPr defaultRowHeight="14"/>
  <cols>
    <col min="1" max="1" width="20" customWidth="1"/>
    <col min="2" max="7" width="11.5" customWidth="1"/>
  </cols>
  <sheetData>
    <row r="1" spans="1:7" ht="32" customHeight="1">
      <c r="A1" s="5" t="s">
        <v>60</v>
      </c>
      <c r="B1" s="9" t="s">
        <v>6</v>
      </c>
      <c r="C1" s="9"/>
      <c r="D1" s="9" t="s">
        <v>7</v>
      </c>
      <c r="E1" s="9"/>
      <c r="F1" s="9" t="s">
        <v>8</v>
      </c>
      <c r="G1" s="9"/>
    </row>
    <row r="2" spans="1:7" ht="12" customHeight="1">
      <c r="A2" s="1" t="s">
        <v>34</v>
      </c>
      <c r="B2" s="2">
        <v>103</v>
      </c>
      <c r="C2" s="6">
        <f t="shared" ref="C2:C26" si="0">IF(SUM(B2,D2,F2)&gt;0,B2/SUM(B2,D2,F2),0)</f>
        <v>7.4637681159420294E-2</v>
      </c>
      <c r="D2" s="2">
        <v>335</v>
      </c>
      <c r="E2" s="6">
        <f t="shared" ref="E2:E26" si="1">IF(SUM(B2,D2,F2)&gt;0,D2/SUM(B2,D2,F2),0)</f>
        <v>0.24275362318840579</v>
      </c>
      <c r="F2" s="2">
        <v>942</v>
      </c>
      <c r="G2" s="6">
        <f t="shared" ref="G2:G26" si="2">IF(SUM(B2,D2,F2)&gt;0,F2/SUM(B2,D2,F2),0)</f>
        <v>0.68260869565217386</v>
      </c>
    </row>
    <row r="3" spans="1:7" ht="12" customHeight="1">
      <c r="A3" s="1" t="s">
        <v>35</v>
      </c>
      <c r="B3" s="2">
        <v>119</v>
      </c>
      <c r="C3" s="6">
        <f t="shared" si="0"/>
        <v>9.6905537459283389E-2</v>
      </c>
      <c r="D3" s="2">
        <v>383</v>
      </c>
      <c r="E3" s="6">
        <f t="shared" si="1"/>
        <v>0.31188925081433228</v>
      </c>
      <c r="F3" s="2">
        <v>726</v>
      </c>
      <c r="G3" s="6">
        <f t="shared" si="2"/>
        <v>0.59120521172638441</v>
      </c>
    </row>
    <row r="4" spans="1:7" ht="12" customHeight="1">
      <c r="A4" s="1" t="s">
        <v>36</v>
      </c>
      <c r="B4" s="2">
        <v>212</v>
      </c>
      <c r="C4" s="6">
        <f t="shared" si="0"/>
        <v>0.15024805102763997</v>
      </c>
      <c r="D4" s="2">
        <v>436</v>
      </c>
      <c r="E4" s="6">
        <f t="shared" si="1"/>
        <v>0.30900070871722185</v>
      </c>
      <c r="F4" s="2">
        <v>763</v>
      </c>
      <c r="G4" s="6">
        <f t="shared" si="2"/>
        <v>0.54075124025513821</v>
      </c>
    </row>
    <row r="5" spans="1:7" ht="12" customHeight="1">
      <c r="A5" s="1" t="s">
        <v>37</v>
      </c>
      <c r="B5" s="2">
        <v>146</v>
      </c>
      <c r="C5" s="6">
        <f t="shared" si="0"/>
        <v>8.1518704634282527E-2</v>
      </c>
      <c r="D5" s="2">
        <v>363</v>
      </c>
      <c r="E5" s="6">
        <f t="shared" si="1"/>
        <v>0.20268006700167504</v>
      </c>
      <c r="F5" s="2">
        <v>1282</v>
      </c>
      <c r="G5" s="6">
        <f t="shared" si="2"/>
        <v>0.71580122836404247</v>
      </c>
    </row>
    <row r="6" spans="1:7" ht="12" customHeight="1">
      <c r="A6" s="1" t="s">
        <v>38</v>
      </c>
      <c r="B6" s="2">
        <v>147</v>
      </c>
      <c r="C6" s="6">
        <f t="shared" si="0"/>
        <v>8.2445316881660125E-2</v>
      </c>
      <c r="D6" s="2">
        <v>380</v>
      </c>
      <c r="E6" s="6">
        <f t="shared" si="1"/>
        <v>0.2131239484015704</v>
      </c>
      <c r="F6" s="2">
        <v>1256</v>
      </c>
      <c r="G6" s="6">
        <f t="shared" si="2"/>
        <v>0.70443073471676954</v>
      </c>
    </row>
    <row r="7" spans="1:7" ht="12" customHeight="1">
      <c r="A7" s="1" t="s">
        <v>39</v>
      </c>
      <c r="B7" s="2">
        <v>148</v>
      </c>
      <c r="C7" s="6">
        <f t="shared" si="0"/>
        <v>7.8431372549019607E-2</v>
      </c>
      <c r="D7" s="2">
        <v>404</v>
      </c>
      <c r="E7" s="6">
        <f t="shared" si="1"/>
        <v>0.21409644939056705</v>
      </c>
      <c r="F7" s="2">
        <v>1335</v>
      </c>
      <c r="G7" s="6">
        <f t="shared" si="2"/>
        <v>0.7074721780604134</v>
      </c>
    </row>
    <row r="8" spans="1:7" ht="12" customHeight="1">
      <c r="A8" s="1" t="s">
        <v>40</v>
      </c>
      <c r="B8" s="2">
        <v>131</v>
      </c>
      <c r="C8" s="6">
        <f t="shared" si="0"/>
        <v>6.8983675618746715E-2</v>
      </c>
      <c r="D8" s="2">
        <v>375</v>
      </c>
      <c r="E8" s="6">
        <f t="shared" si="1"/>
        <v>0.19747235387045814</v>
      </c>
      <c r="F8" s="2">
        <v>1393</v>
      </c>
      <c r="G8" s="6">
        <f t="shared" si="2"/>
        <v>0.73354397051079512</v>
      </c>
    </row>
    <row r="9" spans="1:7" ht="12" customHeight="1">
      <c r="A9" s="1" t="s">
        <v>41</v>
      </c>
      <c r="B9" s="2">
        <v>137</v>
      </c>
      <c r="C9" s="6">
        <f t="shared" si="0"/>
        <v>7.6579094466182218E-2</v>
      </c>
      <c r="D9" s="2">
        <v>424</v>
      </c>
      <c r="E9" s="6">
        <f t="shared" si="1"/>
        <v>0.23700391280044716</v>
      </c>
      <c r="F9" s="2">
        <v>1228</v>
      </c>
      <c r="G9" s="6">
        <f t="shared" si="2"/>
        <v>0.68641699273337065</v>
      </c>
    </row>
    <row r="10" spans="1:7" ht="12" customHeight="1">
      <c r="A10" s="1" t="s">
        <v>42</v>
      </c>
      <c r="B10" s="2">
        <v>151</v>
      </c>
      <c r="C10" s="6">
        <f t="shared" si="0"/>
        <v>8.305830583058306E-2</v>
      </c>
      <c r="D10" s="2">
        <v>438</v>
      </c>
      <c r="E10" s="6">
        <f t="shared" si="1"/>
        <v>0.24092409240924093</v>
      </c>
      <c r="F10" s="2">
        <v>1229</v>
      </c>
      <c r="G10" s="6">
        <f t="shared" si="2"/>
        <v>0.676017601760176</v>
      </c>
    </row>
    <row r="11" spans="1:7" ht="12" customHeight="1">
      <c r="A11" s="1" t="s">
        <v>43</v>
      </c>
      <c r="B11" s="2">
        <v>147</v>
      </c>
      <c r="C11" s="6">
        <f t="shared" si="0"/>
        <v>7.4733096085409248E-2</v>
      </c>
      <c r="D11" s="2">
        <v>377</v>
      </c>
      <c r="E11" s="6">
        <f t="shared" si="1"/>
        <v>0.19166243009659381</v>
      </c>
      <c r="F11" s="2">
        <v>1443</v>
      </c>
      <c r="G11" s="6">
        <f t="shared" si="2"/>
        <v>0.73360447381799698</v>
      </c>
    </row>
    <row r="12" spans="1:7" ht="12" customHeight="1">
      <c r="A12" s="1" t="s">
        <v>44</v>
      </c>
      <c r="B12" s="2">
        <v>142</v>
      </c>
      <c r="C12" s="6">
        <f t="shared" si="0"/>
        <v>7.438449449973808E-2</v>
      </c>
      <c r="D12" s="2">
        <v>404</v>
      </c>
      <c r="E12" s="6">
        <f t="shared" si="1"/>
        <v>0.21162912519643792</v>
      </c>
      <c r="F12" s="2">
        <v>1363</v>
      </c>
      <c r="G12" s="6">
        <f t="shared" si="2"/>
        <v>0.713986380303824</v>
      </c>
    </row>
    <row r="13" spans="1:7" ht="12" customHeight="1">
      <c r="A13" s="1" t="s">
        <v>45</v>
      </c>
      <c r="B13" s="2">
        <v>118</v>
      </c>
      <c r="C13" s="6">
        <f t="shared" si="0"/>
        <v>6.0450819672131145E-2</v>
      </c>
      <c r="D13" s="2">
        <v>387</v>
      </c>
      <c r="E13" s="6">
        <f t="shared" si="1"/>
        <v>0.19825819672131148</v>
      </c>
      <c r="F13" s="2">
        <v>1447</v>
      </c>
      <c r="G13" s="6">
        <f t="shared" si="2"/>
        <v>0.74129098360655743</v>
      </c>
    </row>
    <row r="14" spans="1:7" ht="12" customHeight="1">
      <c r="A14" s="1" t="s">
        <v>46</v>
      </c>
      <c r="B14" s="2">
        <v>159</v>
      </c>
      <c r="C14" s="6">
        <f t="shared" si="0"/>
        <v>8.0833756990340622E-2</v>
      </c>
      <c r="D14" s="2">
        <v>502</v>
      </c>
      <c r="E14" s="6">
        <f t="shared" si="1"/>
        <v>0.25521098118962887</v>
      </c>
      <c r="F14" s="2">
        <v>1306</v>
      </c>
      <c r="G14" s="6">
        <f t="shared" si="2"/>
        <v>0.66395526182003051</v>
      </c>
    </row>
    <row r="15" spans="1:7" ht="12" customHeight="1">
      <c r="A15" s="1" t="s">
        <v>47</v>
      </c>
      <c r="B15" s="2">
        <v>206</v>
      </c>
      <c r="C15" s="6">
        <f t="shared" si="0"/>
        <v>0.12402167369054787</v>
      </c>
      <c r="D15" s="2">
        <v>546</v>
      </c>
      <c r="E15" s="6">
        <f t="shared" si="1"/>
        <v>0.32871763997591813</v>
      </c>
      <c r="F15" s="2">
        <v>909</v>
      </c>
      <c r="G15" s="6">
        <f t="shared" si="2"/>
        <v>0.54726068633353397</v>
      </c>
    </row>
    <row r="16" spans="1:7" ht="12" customHeight="1">
      <c r="A16" s="1" t="s">
        <v>48</v>
      </c>
      <c r="B16" s="2">
        <v>197</v>
      </c>
      <c r="C16" s="6">
        <f t="shared" si="0"/>
        <v>0.11932162325863113</v>
      </c>
      <c r="D16" s="2">
        <v>563</v>
      </c>
      <c r="E16" s="6">
        <f t="shared" si="1"/>
        <v>0.3410054512416717</v>
      </c>
      <c r="F16" s="2">
        <v>891</v>
      </c>
      <c r="G16" s="6">
        <f t="shared" si="2"/>
        <v>0.53967292549969714</v>
      </c>
    </row>
    <row r="17" spans="1:7" ht="12" customHeight="1">
      <c r="A17" s="1" t="s">
        <v>49</v>
      </c>
      <c r="B17" s="2">
        <v>172</v>
      </c>
      <c r="C17" s="6">
        <f t="shared" si="0"/>
        <v>8.0903104421448727E-2</v>
      </c>
      <c r="D17" s="2">
        <v>484</v>
      </c>
      <c r="E17" s="6">
        <f t="shared" si="1"/>
        <v>0.22765757290686736</v>
      </c>
      <c r="F17" s="2">
        <v>1470</v>
      </c>
      <c r="G17" s="6">
        <f t="shared" si="2"/>
        <v>0.69143932267168395</v>
      </c>
    </row>
    <row r="18" spans="1:7" ht="12" customHeight="1">
      <c r="A18" s="1" t="s">
        <v>50</v>
      </c>
      <c r="B18" s="2">
        <v>165</v>
      </c>
      <c r="C18" s="6">
        <f t="shared" si="0"/>
        <v>7.395786642761093E-2</v>
      </c>
      <c r="D18" s="2">
        <v>492</v>
      </c>
      <c r="E18" s="6">
        <f t="shared" si="1"/>
        <v>0.22052891080233078</v>
      </c>
      <c r="F18" s="2">
        <v>1574</v>
      </c>
      <c r="G18" s="6">
        <f t="shared" si="2"/>
        <v>0.70551322277005823</v>
      </c>
    </row>
    <row r="19" spans="1:7" ht="12" customHeight="1">
      <c r="A19" s="1" t="s">
        <v>51</v>
      </c>
      <c r="B19" s="2">
        <v>187</v>
      </c>
      <c r="C19" s="6">
        <f t="shared" si="0"/>
        <v>0.15178571428571427</v>
      </c>
      <c r="D19" s="2">
        <v>410</v>
      </c>
      <c r="E19" s="6">
        <f t="shared" si="1"/>
        <v>0.33279220779220781</v>
      </c>
      <c r="F19" s="2">
        <v>635</v>
      </c>
      <c r="G19" s="6">
        <f t="shared" si="2"/>
        <v>0.51542207792207795</v>
      </c>
    </row>
    <row r="20" spans="1:7" ht="12" customHeight="1">
      <c r="A20" s="1" t="s">
        <v>52</v>
      </c>
      <c r="B20" s="2">
        <v>186</v>
      </c>
      <c r="C20" s="6">
        <f t="shared" si="0"/>
        <v>8.1364829396325458E-2</v>
      </c>
      <c r="D20" s="2">
        <v>485</v>
      </c>
      <c r="E20" s="6">
        <f t="shared" si="1"/>
        <v>0.21216097987751531</v>
      </c>
      <c r="F20" s="2">
        <v>1615</v>
      </c>
      <c r="G20" s="6">
        <f t="shared" si="2"/>
        <v>0.70647419072615925</v>
      </c>
    </row>
    <row r="21" spans="1:7" ht="12" customHeight="1">
      <c r="A21" s="1" t="s">
        <v>53</v>
      </c>
      <c r="B21" s="2">
        <v>215</v>
      </c>
      <c r="C21" s="6">
        <f t="shared" si="0"/>
        <v>9.8941555453290378E-2</v>
      </c>
      <c r="D21" s="2">
        <v>569</v>
      </c>
      <c r="E21" s="6">
        <f t="shared" si="1"/>
        <v>0.26184997699033596</v>
      </c>
      <c r="F21" s="2">
        <v>1389</v>
      </c>
      <c r="G21" s="6">
        <f t="shared" si="2"/>
        <v>0.63920846755637373</v>
      </c>
    </row>
    <row r="22" spans="1:7" ht="12" customHeight="1">
      <c r="A22" s="1" t="s">
        <v>54</v>
      </c>
      <c r="B22" s="2">
        <v>222</v>
      </c>
      <c r="C22" s="6">
        <f t="shared" si="0"/>
        <v>0.11028315946348734</v>
      </c>
      <c r="D22" s="2">
        <v>694</v>
      </c>
      <c r="E22" s="6">
        <f t="shared" si="1"/>
        <v>0.34475906607054146</v>
      </c>
      <c r="F22" s="2">
        <v>1097</v>
      </c>
      <c r="G22" s="6">
        <f t="shared" si="2"/>
        <v>0.54495777446597116</v>
      </c>
    </row>
    <row r="23" spans="1:7" ht="12" customHeight="1">
      <c r="A23" s="1" t="s">
        <v>55</v>
      </c>
      <c r="B23" s="2">
        <v>160</v>
      </c>
      <c r="C23" s="6">
        <f t="shared" si="0"/>
        <v>7.3059360730593603E-2</v>
      </c>
      <c r="D23" s="2">
        <v>509</v>
      </c>
      <c r="E23" s="6">
        <f t="shared" si="1"/>
        <v>0.23242009132420091</v>
      </c>
      <c r="F23" s="2">
        <v>1521</v>
      </c>
      <c r="G23" s="6">
        <f t="shared" si="2"/>
        <v>0.69452054794520546</v>
      </c>
    </row>
    <row r="24" spans="1:7" ht="12" customHeight="1">
      <c r="A24" s="1" t="s">
        <v>56</v>
      </c>
      <c r="B24" s="2">
        <v>189</v>
      </c>
      <c r="C24" s="6">
        <f t="shared" si="0"/>
        <v>8.3259911894273134E-2</v>
      </c>
      <c r="D24" s="2">
        <v>508</v>
      </c>
      <c r="E24" s="6">
        <f t="shared" si="1"/>
        <v>0.22378854625550662</v>
      </c>
      <c r="F24" s="2">
        <v>1573</v>
      </c>
      <c r="G24" s="6">
        <f t="shared" si="2"/>
        <v>0.69295154185022023</v>
      </c>
    </row>
    <row r="25" spans="1:7" ht="12" customHeight="1">
      <c r="A25" s="1" t="s">
        <v>57</v>
      </c>
      <c r="B25" s="2">
        <v>217</v>
      </c>
      <c r="C25" s="6">
        <f t="shared" si="0"/>
        <v>9.2105263157894732E-2</v>
      </c>
      <c r="D25" s="2">
        <v>582</v>
      </c>
      <c r="E25" s="6">
        <f t="shared" si="1"/>
        <v>0.24702886247877759</v>
      </c>
      <c r="F25" s="2">
        <v>1557</v>
      </c>
      <c r="G25" s="6">
        <f t="shared" si="2"/>
        <v>0.66086587436332767</v>
      </c>
    </row>
    <row r="26" spans="1:7" ht="12" customHeight="1">
      <c r="A26" s="1" t="s">
        <v>58</v>
      </c>
      <c r="B26" s="2">
        <v>196</v>
      </c>
      <c r="C26" s="6">
        <f t="shared" si="0"/>
        <v>8.3976006855184235E-2</v>
      </c>
      <c r="D26" s="2">
        <v>573</v>
      </c>
      <c r="E26" s="6">
        <f t="shared" si="1"/>
        <v>0.24550128534704371</v>
      </c>
      <c r="F26" s="2">
        <v>1565</v>
      </c>
      <c r="G26" s="6">
        <f t="shared" si="2"/>
        <v>0.67052270779777201</v>
      </c>
    </row>
  </sheetData>
  <mergeCells count="3">
    <mergeCell ref="B1:C1"/>
    <mergeCell ref="D1:E1"/>
    <mergeCell ref="F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市區平均每日</vt:lpstr>
      <vt:lpstr>市區搭乘區間</vt:lpstr>
      <vt:lpstr>市區TPASS搭乘區間</vt:lpstr>
      <vt:lpstr>公路平均每日</vt:lpstr>
      <vt:lpstr>公路搭乘區間</vt:lpstr>
      <vt:lpstr>公路TPASS搭乘區間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李姿儀</dc:creator>
  <cp:lastModifiedBy>姿儀 李</cp:lastModifiedBy>
  <dcterms:created xsi:type="dcterms:W3CDTF">2026-10-04T06:29:07Z</dcterms:created>
  <dcterms:modified xsi:type="dcterms:W3CDTF">2026-10-04T06:29:08Z</dcterms:modified>
</cp:coreProperties>
</file>